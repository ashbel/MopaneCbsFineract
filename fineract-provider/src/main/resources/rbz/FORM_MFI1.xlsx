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ANK SUPERVISION - WORK\WORK - BLSS\MFI ISSUES\WORKSHOPS\2019\"/>
    </mc:Choice>
  </mc:AlternateContent>
  <bookViews>
    <workbookView xWindow="0" yWindow="0" windowWidth="19200" windowHeight="6075"/>
  </bookViews>
  <sheets>
    <sheet name="COMPREHENSIVE INCOME" sheetId="1" r:id="rId1"/>
    <sheet name="STATEMENT OF FIN POSITION" sheetId="2" r:id="rId2"/>
    <sheet name="SCHEDULE 1 INSIDER LOANS" sheetId="3" r:id="rId3"/>
    <sheet name="SCHEDULE 2 LONG TERM DEB" sheetId="4" r:id="rId4"/>
    <sheet name="SCHEDULE 3 ASSET QUALITY" sheetId="5" r:id="rId5"/>
    <sheet name="SCHEDULE 4 DISTRIBUTION " sheetId="6" r:id="rId6"/>
    <sheet name="SCHEDULE 5 GENDER DISTRIBUTION" sheetId="7" r:id="rId7"/>
    <sheet name="SCHEDULE 6 MATURITY PROF" sheetId="8" r:id="rId8"/>
    <sheet name="SCHEDULE 7 TOP 20 BORROW" sheetId="9" r:id="rId9"/>
    <sheet name="SCHEDULE 8 - ACCESS BY DISTRICT" sheetId="10" r:id="rId10"/>
    <sheet name="SCHEDULE 9 PORT MNGMNT" sheetId="11" r:id="rId11"/>
    <sheet name="SCHEDULE 9 CO. PROFILE" sheetId="12" r:id="rId12"/>
  </sheets>
  <definedNames>
    <definedName name="_xlnm.Print_Area" localSheetId="0">'COMPREHENSIVE INCOME'!$A$1:$C$56</definedName>
    <definedName name="_xlnm.Print_Area" localSheetId="2">'SCHEDULE 1 INSIDER LOANS'!$A$1:$G$31</definedName>
    <definedName name="_xlnm.Print_Area" localSheetId="4">'SCHEDULE 3 ASSET QUALITY'!$A$1:$E$34</definedName>
    <definedName name="_xlnm.Print_Area" localSheetId="5">'SCHEDULE 4 DISTRIBUTION '!$A$1:$E$23</definedName>
    <definedName name="_xlnm.Print_Area" localSheetId="7">'SCHEDULE 6 MATURITY PROF'!$A$1:$E$19</definedName>
    <definedName name="_xlnm.Print_Area" localSheetId="8">'SCHEDULE 7 TOP 20 BORROW'!$A$1:$F$33</definedName>
    <definedName name="_xlnm.Print_Area" localSheetId="11">'SCHEDULE 9 CO. PROFILE'!$A$1:$B$25</definedName>
    <definedName name="_xlnm.Print_Area" localSheetId="10">'SCHEDULE 9 PORT MNGMNT'!$A$1:$C$44</definedName>
    <definedName name="_xlnm.Print_Area" localSheetId="1">'STATEMENT OF FIN POSITION'!$A$1:$B$69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1" l="1"/>
  <c r="C81" i="10" l="1"/>
  <c r="E13" i="8"/>
  <c r="E11" i="8"/>
  <c r="D11" i="8"/>
  <c r="C11" i="8"/>
  <c r="B11" i="8"/>
  <c r="B10" i="4"/>
  <c r="C62" i="1"/>
  <c r="C42" i="11"/>
  <c r="B6" i="12"/>
  <c r="B5" i="12"/>
  <c r="B4" i="12"/>
  <c r="B3" i="12"/>
  <c r="B6" i="11"/>
  <c r="B5" i="11"/>
  <c r="B4" i="11"/>
  <c r="B3" i="11"/>
  <c r="B6" i="10"/>
  <c r="B5" i="10"/>
  <c r="B4" i="10"/>
  <c r="B3" i="10"/>
  <c r="B6" i="9"/>
  <c r="B5" i="9"/>
  <c r="B4" i="9"/>
  <c r="B3" i="9"/>
  <c r="B6" i="8"/>
  <c r="B5" i="8"/>
  <c r="B4" i="8"/>
  <c r="B3" i="8"/>
  <c r="B6" i="7"/>
  <c r="B5" i="7"/>
  <c r="B4" i="7"/>
  <c r="B3" i="7"/>
  <c r="B6" i="6"/>
  <c r="B5" i="6"/>
  <c r="B4" i="6"/>
  <c r="B3" i="6"/>
  <c r="B6" i="5"/>
  <c r="B5" i="5"/>
  <c r="B4" i="5"/>
  <c r="B3" i="5"/>
  <c r="B6" i="4"/>
  <c r="B5" i="4"/>
  <c r="B4" i="4"/>
  <c r="B3" i="4"/>
  <c r="B6" i="3"/>
  <c r="B5" i="3"/>
  <c r="B4" i="3"/>
  <c r="B3" i="3"/>
  <c r="B4" i="2"/>
  <c r="B5" i="2"/>
  <c r="B6" i="2"/>
  <c r="B3" i="2"/>
  <c r="C14" i="10" l="1"/>
  <c r="C82" i="10" s="1"/>
  <c r="D14" i="10"/>
  <c r="E14" i="10"/>
  <c r="F14" i="10"/>
  <c r="F82" i="10" s="1"/>
  <c r="G14" i="10"/>
  <c r="G82" i="10" s="1"/>
  <c r="H14" i="10"/>
  <c r="I14" i="10"/>
  <c r="J14" i="10"/>
  <c r="J82" i="10" s="1"/>
  <c r="K14" i="10"/>
  <c r="K82" i="10" s="1"/>
  <c r="L14" i="10"/>
  <c r="M14" i="10"/>
  <c r="N14" i="10"/>
  <c r="N82" i="10" s="1"/>
  <c r="O14" i="10"/>
  <c r="O82" i="10" s="1"/>
  <c r="P14" i="10"/>
  <c r="Q14" i="10"/>
  <c r="R14" i="10"/>
  <c r="R82" i="10" s="1"/>
  <c r="S14" i="10"/>
  <c r="S82" i="10" s="1"/>
  <c r="T14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D82" i="10"/>
  <c r="E82" i="10"/>
  <c r="H82" i="10"/>
  <c r="I82" i="10"/>
  <c r="L82" i="10"/>
  <c r="M82" i="10"/>
  <c r="P82" i="10"/>
  <c r="Q82" i="10"/>
  <c r="T82" i="10"/>
  <c r="B10" i="9"/>
  <c r="C10" i="9"/>
  <c r="F10" i="9"/>
  <c r="D12" i="8"/>
  <c r="E12" i="8" s="1"/>
  <c r="E14" i="8" s="1"/>
  <c r="E15" i="8" s="1"/>
  <c r="E16" i="8" s="1"/>
  <c r="E17" i="8" s="1"/>
  <c r="E18" i="8" s="1"/>
  <c r="E19" i="8" s="1"/>
  <c r="D13" i="8"/>
  <c r="D14" i="8"/>
  <c r="D15" i="8"/>
  <c r="D16" i="8"/>
  <c r="D17" i="8"/>
  <c r="D18" i="8"/>
  <c r="D19" i="8"/>
  <c r="B10" i="7"/>
  <c r="C10" i="7"/>
  <c r="D10" i="7"/>
  <c r="E12" i="7" s="1"/>
  <c r="E11" i="7"/>
  <c r="E10" i="7" s="1"/>
  <c r="E13" i="7"/>
  <c r="E14" i="7"/>
  <c r="E15" i="7"/>
  <c r="E17" i="7"/>
  <c r="E18" i="7"/>
  <c r="E19" i="7"/>
  <c r="E21" i="7"/>
  <c r="E22" i="7"/>
  <c r="E23" i="7"/>
  <c r="B10" i="6"/>
  <c r="C10" i="6"/>
  <c r="D10" i="6"/>
  <c r="E11" i="6" s="1"/>
  <c r="E10" i="6" s="1"/>
  <c r="E22" i="6"/>
  <c r="C12" i="5"/>
  <c r="E12" i="5" s="1"/>
  <c r="E34" i="5" s="1"/>
  <c r="E13" i="5"/>
  <c r="E14" i="5"/>
  <c r="E15" i="5"/>
  <c r="C16" i="5"/>
  <c r="E16" i="5"/>
  <c r="E17" i="5"/>
  <c r="E18" i="5"/>
  <c r="E19" i="5"/>
  <c r="C20" i="5"/>
  <c r="E20" i="5"/>
  <c r="E21" i="5"/>
  <c r="E22" i="5"/>
  <c r="E23" i="5"/>
  <c r="C24" i="5"/>
  <c r="E24" i="5" s="1"/>
  <c r="E25" i="5"/>
  <c r="E26" i="5"/>
  <c r="E27" i="5"/>
  <c r="C28" i="5"/>
  <c r="E28" i="5" s="1"/>
  <c r="E29" i="5"/>
  <c r="E30" i="5"/>
  <c r="E31" i="5"/>
  <c r="C10" i="4"/>
  <c r="C11" i="3"/>
  <c r="D11" i="3"/>
  <c r="G11" i="3"/>
  <c r="C11" i="2"/>
  <c r="C14" i="2"/>
  <c r="C20" i="2"/>
  <c r="C34" i="2" s="1"/>
  <c r="C36" i="2" s="1"/>
  <c r="C38" i="2" s="1"/>
  <c r="C22" i="2"/>
  <c r="C41" i="2"/>
  <c r="C48" i="2"/>
  <c r="C52" i="2"/>
  <c r="C56" i="2" s="1"/>
  <c r="C58" i="2"/>
  <c r="C69" i="2" s="1"/>
  <c r="C66" i="2"/>
  <c r="E20" i="7" l="1"/>
  <c r="E16" i="7"/>
  <c r="E21" i="6"/>
  <c r="E13" i="6"/>
  <c r="E18" i="6"/>
  <c r="E14" i="6"/>
  <c r="E17" i="6"/>
  <c r="E20" i="6"/>
  <c r="E16" i="6"/>
  <c r="E12" i="6"/>
  <c r="E23" i="6"/>
  <c r="E19" i="6"/>
  <c r="E15" i="6"/>
  <c r="E33" i="5"/>
  <c r="E32" i="5" s="1"/>
  <c r="C32" i="5"/>
  <c r="C11" i="1" l="1"/>
  <c r="C25" i="1" s="1"/>
  <c r="C15" i="1"/>
  <c r="C26" i="1"/>
  <c r="C32" i="1"/>
  <c r="C37" i="1"/>
  <c r="C40" i="1"/>
  <c r="C49" i="1" s="1"/>
  <c r="C58" i="1"/>
  <c r="C36" i="1" l="1"/>
  <c r="C31" i="1"/>
  <c r="C50" i="1" s="1"/>
  <c r="C52" i="1" s="1"/>
  <c r="C54" i="1" s="1"/>
  <c r="C56" i="1" s="1"/>
</calcChain>
</file>

<file path=xl/comments1.xml><?xml version="1.0" encoding="utf-8"?>
<comments xmlns="http://schemas.openxmlformats.org/spreadsheetml/2006/main">
  <authors>
    <author>charumbg</author>
  </authors>
  <commentList>
    <comment ref="A27" authorId="0" shapeId="0">
      <text>
        <r>
          <rPr>
            <sz val="8"/>
            <color indexed="81"/>
            <rFont val="Tahoma"/>
            <family val="2"/>
          </rPr>
          <t xml:space="preserve">including arrangement.  Application, cash handling, security custody fees etc
</t>
        </r>
      </text>
    </comment>
    <comment ref="A30" authorId="0" shapeId="0">
      <text>
        <r>
          <rPr>
            <sz val="8"/>
            <color indexed="81"/>
            <rFont val="Tahoma"/>
            <family val="2"/>
          </rPr>
          <t xml:space="preserve">Training, advisory fees etc.
</t>
        </r>
      </text>
    </comment>
  </commentList>
</comments>
</file>

<file path=xl/comments2.xml><?xml version="1.0" encoding="utf-8"?>
<comments xmlns="http://schemas.openxmlformats.org/spreadsheetml/2006/main">
  <authors>
    <author>charumbg</author>
  </authors>
  <commentList>
    <comment ref="A41" authorId="0" shapeId="0">
      <text>
        <r>
          <rPr>
            <sz val="12"/>
            <color indexed="81"/>
            <rFont val="Tahoma"/>
            <family val="2"/>
          </rPr>
          <t>Tenure of less than one year.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2" authorId="0" shapeId="0">
      <text>
        <r>
          <rPr>
            <sz val="12"/>
            <color indexed="81"/>
            <rFont val="Tahoma"/>
            <family val="2"/>
          </rPr>
          <t>Tenure of more than one year.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5" authorId="0" shapeId="0">
      <text>
        <r>
          <rPr>
            <sz val="12"/>
            <color indexed="81"/>
            <rFont val="Tahoma"/>
            <family val="2"/>
          </rPr>
          <t>Tenure of more than one year.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charumbg</author>
  </authors>
  <commentList>
    <comment ref="A9" authorId="0" shapeId="0">
      <text>
        <r>
          <rPr>
            <sz val="12"/>
            <color indexed="81"/>
            <rFont val="Tahoma"/>
            <family val="2"/>
          </rPr>
          <t xml:space="preserve">Represents minimum expectations from the Registrar.
</t>
        </r>
      </text>
    </comment>
    <comment ref="A13" authorId="0" shapeId="0">
      <text>
        <r>
          <rPr>
            <sz val="12"/>
            <color indexed="81"/>
            <rFont val="Tahoma"/>
            <family val="2"/>
          </rPr>
          <t>Loans for purchase of consumables such as food, clothes, funeral expenses, medical expenses, eduaction etc (non-productive purposes.)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sz val="12"/>
            <color indexed="81"/>
            <rFont val="Tahoma"/>
            <family val="2"/>
          </rPr>
          <t>Loans for productive purposes such as order finance, working capital, small business loans etc</t>
        </r>
      </text>
    </comment>
  </commentList>
</comments>
</file>

<file path=xl/comments4.xml><?xml version="1.0" encoding="utf-8"?>
<comments xmlns="http://schemas.openxmlformats.org/spreadsheetml/2006/main">
  <authors>
    <author>charumbg</author>
  </authors>
  <commentList>
    <comment ref="A9" authorId="0" shapeId="0">
      <text>
        <r>
          <rPr>
            <sz val="12"/>
            <color indexed="81"/>
            <rFont val="Tahoma"/>
            <family val="2"/>
          </rPr>
          <t>The distribution is based on purpose for which the loan is to be used for which should be stated on the loan application form form.</t>
        </r>
      </text>
    </comment>
    <comment ref="B9" authorId="0" shapeId="0">
      <text>
        <r>
          <rPr>
            <sz val="12"/>
            <color indexed="81"/>
            <rFont val="Tahoma"/>
            <family val="2"/>
          </rPr>
          <t>Relates to number of borrowers accessing loans.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0" shapeId="0">
      <text>
        <r>
          <rPr>
            <sz val="12"/>
            <color indexed="81"/>
            <rFont val="Tahoma"/>
            <family val="2"/>
          </rPr>
          <t>Actual number of loans granted. A borrower can have multiple loans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sz val="11"/>
            <color indexed="81"/>
            <rFont val="Tahoma"/>
            <family val="2"/>
          </rPr>
          <t>Lending earmarked to enable a borrower to pay for consumables such as food, fuel, clothes etc.</t>
        </r>
        <r>
          <rPr>
            <sz val="12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charumbg</author>
  </authors>
  <commentList>
    <comment ref="A9" authorId="0" shapeId="0">
      <text>
        <r>
          <rPr>
            <sz val="12"/>
            <color indexed="81"/>
            <rFont val="Tahoma"/>
            <family val="2"/>
          </rPr>
          <t>The distribution is based on purpose for which the loan is to be used for which should be stated on the loan application form form.</t>
        </r>
      </text>
    </comment>
    <comment ref="B9" authorId="0" shapeId="0">
      <text>
        <r>
          <rPr>
            <sz val="12"/>
            <color indexed="81"/>
            <rFont val="Tahoma"/>
            <family val="2"/>
          </rPr>
          <t>Relates to number of borrowers accessing loans.</t>
        </r>
      </text>
    </comment>
    <comment ref="C9" authorId="0" shapeId="0">
      <text>
        <r>
          <rPr>
            <sz val="12"/>
            <color indexed="81"/>
            <rFont val="Tahoma"/>
            <family val="2"/>
          </rPr>
          <t>Actual number of loans granted. A borrower can have multiple loans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sz val="12"/>
            <color indexed="81"/>
            <rFont val="Tahoma"/>
            <family val="2"/>
          </rPr>
          <t>Lending earmarked to enable a borrower to pay for consumables such as food, fuel, clothes etc.</t>
        </r>
      </text>
    </comment>
  </commentList>
</comments>
</file>

<file path=xl/comments6.xml><?xml version="1.0" encoding="utf-8"?>
<comments xmlns="http://schemas.openxmlformats.org/spreadsheetml/2006/main">
  <authors>
    <author>charumbg</author>
  </authors>
  <commentList>
    <comment ref="B10" authorId="0" shapeId="0">
      <text>
        <r>
          <rPr>
            <sz val="12"/>
            <color indexed="81"/>
            <rFont val="Tahoma"/>
            <family val="2"/>
          </rPr>
          <t>Cash inflows include maturing assets and all other inflows due to the institution.</t>
        </r>
      </text>
    </comment>
    <comment ref="A19" authorId="0" shapeId="0">
      <text>
        <r>
          <rPr>
            <sz val="12"/>
            <color indexed="81"/>
            <rFont val="Tahoma"/>
            <family val="2"/>
          </rPr>
          <t>365 days can be used interchangeably with 360 days</t>
        </r>
      </text>
    </comment>
  </commentList>
</comments>
</file>

<file path=xl/comments7.xml><?xml version="1.0" encoding="utf-8"?>
<comments xmlns="http://schemas.openxmlformats.org/spreadsheetml/2006/main">
  <authors>
    <author>charumbg</author>
  </authors>
  <commentList>
    <comment ref="B9" authorId="0" shapeId="0">
      <text>
        <r>
          <rPr>
            <sz val="12"/>
            <color indexed="81"/>
            <rFont val="Tahoma"/>
            <family val="2"/>
          </rPr>
          <t>Total amount borrowed to date in the current year.</t>
        </r>
      </text>
    </comment>
    <comment ref="C9" authorId="0" shapeId="0">
      <text>
        <r>
          <rPr>
            <sz val="12"/>
            <color indexed="81"/>
            <rFont val="Tahoma"/>
            <family val="2"/>
          </rPr>
          <t>Bal outstanding includes interest acruued and unpaid to date.</t>
        </r>
      </text>
    </comment>
  </commentList>
</comments>
</file>

<file path=xl/comments8.xml><?xml version="1.0" encoding="utf-8"?>
<comments xmlns="http://schemas.openxmlformats.org/spreadsheetml/2006/main">
  <authors>
    <author>charumbg</author>
    <author>hitapt</author>
  </authors>
  <commentList>
    <comment ref="A15" authorId="0" shapeId="0">
      <text>
        <r>
          <rPr>
            <sz val="12"/>
            <color indexed="81"/>
            <rFont val="Tahoma"/>
            <family val="2"/>
          </rPr>
          <t>Active clients are clients with running loans.</t>
        </r>
      </text>
    </comment>
    <comment ref="A17" authorId="0" shapeId="0">
      <text>
        <r>
          <rPr>
            <sz val="12"/>
            <color indexed="81"/>
            <rFont val="Tahoma"/>
            <family val="2"/>
          </rPr>
          <t>A dropout is defined as a client that did not take a follow on loan within 90 days-CGAP.</t>
        </r>
      </text>
    </comment>
    <comment ref="A20" authorId="0" shapeId="0">
      <text>
        <r>
          <rPr>
            <sz val="12"/>
            <color indexed="81"/>
            <rFont val="Tahoma"/>
            <family val="2"/>
          </rPr>
          <t>Non Active clients are borrowers who have cleared their loans and are currently not borrowed.</t>
        </r>
      </text>
    </comment>
    <comment ref="A23" authorId="1" shapeId="0">
      <text>
        <r>
          <rPr>
            <sz val="11"/>
            <color indexed="81"/>
            <rFont val="Tahoma"/>
            <family val="2"/>
          </rPr>
          <t>Located in cities and towns including satelite towns such as Chitungwiza, Norton and Ruwa.</t>
        </r>
      </text>
    </comment>
    <comment ref="A24" authorId="1" shapeId="0">
      <text>
        <r>
          <rPr>
            <sz val="11"/>
            <color indexed="81"/>
            <rFont val="Tahoma"/>
            <family val="2"/>
          </rPr>
          <t xml:space="preserve">Located at Rural B/Cs, G/Pts, </t>
        </r>
        <r>
          <rPr>
            <sz val="12"/>
            <color indexed="81"/>
            <rFont val="Tahoma"/>
            <family val="2"/>
          </rPr>
          <t>and o</t>
        </r>
        <r>
          <rPr>
            <sz val="11"/>
            <color indexed="81"/>
            <rFont val="Tahoma"/>
            <family val="2"/>
          </rPr>
          <t xml:space="preserve">ther locations which are not defined as urban. </t>
        </r>
      </text>
    </comment>
    <comment ref="A40" authorId="0" shapeId="0">
      <text>
        <r>
          <rPr>
            <sz val="12"/>
            <color indexed="81"/>
            <rFont val="Tahoma"/>
            <family val="2"/>
          </rPr>
          <t>Collections from current billings including arrears.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1" authorId="0" shapeId="0">
      <text>
        <r>
          <rPr>
            <sz val="12"/>
            <color indexed="81"/>
            <rFont val="Tahoma"/>
            <family val="2"/>
          </rPr>
          <t xml:space="preserve">Current billings or total expected loan repayments from borrowers. 
</t>
        </r>
      </text>
    </comment>
    <comment ref="A43" authorId="0" shapeId="0">
      <text>
        <r>
          <rPr>
            <b/>
            <sz val="12"/>
            <color indexed="81"/>
            <rFont val="Tahoma"/>
            <family val="2"/>
          </rPr>
          <t>Rolled over/Renegotiated loan</t>
        </r>
        <r>
          <rPr>
            <sz val="12"/>
            <color indexed="81"/>
            <rFont val="Tahoma"/>
            <family val="2"/>
          </rPr>
          <t xml:space="preserve"> - a loan in which the original repayment terms have been altered or changed due to deterioration in the borrower's financial position or ability to repay.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48" authorId="0" shapeId="0">
      <text>
        <r>
          <rPr>
            <sz val="12"/>
            <color indexed="81"/>
            <rFont val="Tahoma"/>
            <family val="2"/>
          </rPr>
          <t>Includes loan amounts handed over to Lawyers for collection.</t>
        </r>
      </text>
    </comment>
  </commentList>
</comments>
</file>

<file path=xl/sharedStrings.xml><?xml version="1.0" encoding="utf-8"?>
<sst xmlns="http://schemas.openxmlformats.org/spreadsheetml/2006/main" count="445" uniqueCount="368">
  <si>
    <t>19 TOTAL COMPREHENSIVE INCOME FOR THE YEAR</t>
  </si>
  <si>
    <t xml:space="preserve">  18.3 OTHER (SPECIFY)</t>
  </si>
  <si>
    <t xml:space="preserve">  18.2 GAINS/ (LOSSES) ON REVALUATUION OF FIXED ASSETS</t>
  </si>
  <si>
    <r>
      <t xml:space="preserve"> </t>
    </r>
    <r>
      <rPr>
        <sz val="14"/>
        <color indexed="8"/>
        <rFont val="Arial"/>
        <family val="2"/>
      </rPr>
      <t xml:space="preserve"> 18.1  GAINS/(LOSSES) ON AVAILABLE FOR SALE FINANCIAL ASSETS</t>
    </r>
  </si>
  <si>
    <t>18 OTHER COMPREHENSIVE INCOME</t>
  </si>
  <si>
    <t>17 RETAINED EARNINGS FROM OPERATIONS</t>
  </si>
  <si>
    <t>16 DIVIDEND</t>
  </si>
  <si>
    <t xml:space="preserve">15 NET INCOME AFTER TAX </t>
  </si>
  <si>
    <t>14 TAXATION</t>
  </si>
  <si>
    <t>13 TOTAL INCOME BEFORE TAX  (Sum of 11 plus 12)</t>
  </si>
  <si>
    <t>12 GRANT INCOME</t>
  </si>
  <si>
    <t>11 NET INCOME FROM OPERATIONS ( 5 minus 10)</t>
  </si>
  <si>
    <t>10 TOTAL OPERATING EXPENSES (Sum of 9 plus 8 plus 6)</t>
  </si>
  <si>
    <t xml:space="preserve">9.8  OTHER </t>
  </si>
  <si>
    <t>9.7  ADMINISTRATION. EXPENSES</t>
  </si>
  <si>
    <t>9.6  MARKETING</t>
  </si>
  <si>
    <t>9.5  DEPRECIATION</t>
  </si>
  <si>
    <t>9.4  TRAVEL</t>
  </si>
  <si>
    <t>9.3  DIRECTORS FEES</t>
  </si>
  <si>
    <t>9.2  RENT AND OCCUPATIONAL EXPENSES</t>
  </si>
  <si>
    <t>9.1  SALARIES AND EMPLOYEE BENEFITS</t>
  </si>
  <si>
    <t>9 OPERATING EXPENSES (Sum of 9.1 to 9.8)</t>
  </si>
  <si>
    <t xml:space="preserve"> 8.2  GENERAL</t>
  </si>
  <si>
    <t xml:space="preserve"> 8.1  SPECIFIC</t>
  </si>
  <si>
    <t>8 PROVISION FOR LOAN LOSSES</t>
  </si>
  <si>
    <t>7 NET INTEREST INCOME ( 3 minus 6)</t>
  </si>
  <si>
    <t>6.3  INTEREST  ON SHAREHOLDERS LOANS</t>
  </si>
  <si>
    <t>6.2  INTEREST  ON CONCESSIONAL DEBT</t>
  </si>
  <si>
    <t>6.1  INTEREST AND FEES  ON COMMERCIAL DEBT</t>
  </si>
  <si>
    <t>6 INTEREST  EXPENSES  (Sum of 6.1 to 6.3)</t>
  </si>
  <si>
    <t xml:space="preserve">5 TOTAL OPERATING INCOME (Sum of 3 and 4) </t>
  </si>
  <si>
    <t>4.4  OTHER</t>
  </si>
  <si>
    <t>4.3  INSURANCE INCOME FEES</t>
  </si>
  <si>
    <t>4.2  PENALTY FEES</t>
  </si>
  <si>
    <t>4.1  ADMINSTRATION FEES</t>
  </si>
  <si>
    <t>4 NON -  INTEREST INCOME (Sum of 4.1 to 4.4)</t>
  </si>
  <si>
    <t>3 TOTAL INTEREST INCOME (Sum of 1 and 2)</t>
  </si>
  <si>
    <t xml:space="preserve">2.9  OTHER </t>
  </si>
  <si>
    <t>2.8  CORPORATE BONDS</t>
  </si>
  <si>
    <t>2.7  LOCAL GOVERNMENT BONDS</t>
  </si>
  <si>
    <t>2.6  GOVERNMENT BONDS</t>
  </si>
  <si>
    <t>2.5  NEGOTIABLE CERTIFICATES OF DEPOSITS</t>
  </si>
  <si>
    <t>2.4  BANKERS ACCEPTANCES</t>
  </si>
  <si>
    <t>2.3  COMMERCIAL PAPER</t>
  </si>
  <si>
    <t>2.2  TREASURY BILLS</t>
  </si>
  <si>
    <t>2.1  BANK BALANCES</t>
  </si>
  <si>
    <t>2 INTEREST INCOME AND DISCOUNT RECEIVED FROM INVESTMENTS(Sum of 2.1 to 2.9)</t>
  </si>
  <si>
    <t>1.3  OTHER</t>
  </si>
  <si>
    <t xml:space="preserve">1.2  COMMERCIAL </t>
  </si>
  <si>
    <t>1.1  CONSUMER</t>
  </si>
  <si>
    <t xml:space="preserve">1 INTEREST INCOME FROM LOANS &amp; ADVANCES (Sum of 1.1 to 1.3) </t>
  </si>
  <si>
    <t>CONSOLIDATED</t>
  </si>
  <si>
    <r>
      <t>STATEMENT OF COMPREHENSIVE INCOME (</t>
    </r>
    <r>
      <rPr>
        <b/>
        <i/>
        <sz val="14"/>
        <color indexed="8"/>
        <rFont val="Arial"/>
        <family val="2"/>
      </rPr>
      <t>reporting is on a cummulative basis for current year)</t>
    </r>
  </si>
  <si>
    <t>End Date:</t>
  </si>
  <si>
    <t>Start Date:</t>
  </si>
  <si>
    <t>Financial Year:</t>
  </si>
  <si>
    <t>Institution:</t>
  </si>
  <si>
    <t>4. TOTAL LIABILITIES AND EQUITY  (Sum of 2 plus 3)</t>
  </si>
  <si>
    <t>3.8.2  PRIOR YEARS</t>
  </si>
  <si>
    <t>3.8.1   CURRENT YEAR</t>
  </si>
  <si>
    <t>3.8. PROFIT AND LOSS/RETAINED EARNINGS</t>
  </si>
  <si>
    <t xml:space="preserve">3.7. OTHER RESERVES </t>
  </si>
  <si>
    <t>3.6. DONATED EQUITY/ GRANTS</t>
  </si>
  <si>
    <t>3.5  REVALUATION RESERVES</t>
  </si>
  <si>
    <t>3.4  IRREDEEMABLE NON CUMULATIVE PREFERENCE SHARES</t>
  </si>
  <si>
    <t xml:space="preserve">3.3  IRREDEEMABLE CUMULATIVE PREFERENCE SHARES </t>
  </si>
  <si>
    <t>3.2. SHARE PREMIUM ACCOUNT</t>
  </si>
  <si>
    <t>3.1. ORDINARY SHARES (PAR VALUE)</t>
  </si>
  <si>
    <t>3. EQUITY  (Sum of 3.1 to 3.8)</t>
  </si>
  <si>
    <t>2.8 TOTAL LIABILITIES (Sum of 2.5 to 2.7 )</t>
  </si>
  <si>
    <t>2.7.3 OTHER LONG TERM LIABILITIES</t>
  </si>
  <si>
    <t>2.7.2 CONCESSIONAL RATES</t>
  </si>
  <si>
    <t xml:space="preserve">2.7.1 COMMERCIAL RATES </t>
  </si>
  <si>
    <t>2.7  LONG  TERM  DEBT  (Sum of 2.7.1 to 2.7.3)</t>
  </si>
  <si>
    <t>2.6  SHAREHOLDER LOANS</t>
  </si>
  <si>
    <t>2.5   TOTAL CURRENT LIABILITIES (Sum of 2.1 to 2.4)</t>
  </si>
  <si>
    <t>2.4 OTHER CURRENT LIABILITIES</t>
  </si>
  <si>
    <t>2.3 DIVIDENDS PAYABLE</t>
  </si>
  <si>
    <t>2.2.TAXATION</t>
  </si>
  <si>
    <t>2.1.2 CONCESSIONAL RATES</t>
  </si>
  <si>
    <t xml:space="preserve">2.1.1 COMMERCIAL RATES </t>
  </si>
  <si>
    <t>2.1 SHORT TERM DEBT   (Sum of 2.2.1 to 2.2.3)</t>
  </si>
  <si>
    <t>2. LIABILITIES</t>
  </si>
  <si>
    <t xml:space="preserve">1.7 FIXED ASSETS </t>
  </si>
  <si>
    <t xml:space="preserve">1.6 TOTAL CURRENT ASSETS (Sum of 1.1 to 1.5) </t>
  </si>
  <si>
    <t xml:space="preserve">1.5  OTHER SHORT-TERM ASSETS </t>
  </si>
  <si>
    <t>1.4 NET LOAN PORTFOLIO (1.3 minus 1.3.4)</t>
  </si>
  <si>
    <t>1.3.4  TOTAL PROVISIONS (GEN &amp; SPECIFIC)</t>
  </si>
  <si>
    <t>1.3.3  OTHER</t>
  </si>
  <si>
    <t>(ix) Construction</t>
  </si>
  <si>
    <t>(viii) Education</t>
  </si>
  <si>
    <t>(vii) Health</t>
  </si>
  <si>
    <t>(vi)  Transport</t>
  </si>
  <si>
    <t>(v)   Retail</t>
  </si>
  <si>
    <t>(iv)  Services</t>
  </si>
  <si>
    <t>(iii)  Mining</t>
  </si>
  <si>
    <t>(ii)  Manufacturing</t>
  </si>
  <si>
    <t>(i)  Farming</t>
  </si>
  <si>
    <t>1.3.2 COMMERCIAL</t>
  </si>
  <si>
    <t>1.3.1  CONSUMER</t>
  </si>
  <si>
    <t>1.3  TOTAL LOANS-Gross (Sum of 1.3.1 to 1.3.3)</t>
  </si>
  <si>
    <t>1.2.5 OTHER</t>
  </si>
  <si>
    <t>1.2.4  COMMERCIAL PAPER</t>
  </si>
  <si>
    <t>1.2.3  BANKERS ACCEPTANCES</t>
  </si>
  <si>
    <t xml:space="preserve">1.2.2  NEGOTIABLE CERTIFICATES OF DEPOSITS </t>
  </si>
  <si>
    <t>1.2.1  TREASURY BILLS</t>
  </si>
  <si>
    <t xml:space="preserve">1.2  FINANCIAL ASSETS HELD FOR TRADING (SUM of 1.2.1 to 1.2.5) </t>
  </si>
  <si>
    <t>1.2  CASH IN BANK (S)</t>
  </si>
  <si>
    <t>1.1  CASH ON HAND</t>
  </si>
  <si>
    <t xml:space="preserve">1. ASSETS </t>
  </si>
  <si>
    <t xml:space="preserve">TOTAL AMOUNT($) </t>
  </si>
  <si>
    <t>BALANCE SHEET</t>
  </si>
  <si>
    <t>TOTAL</t>
  </si>
  <si>
    <t>Value of security</t>
  </si>
  <si>
    <t>Type of Security</t>
  </si>
  <si>
    <t>Interest rate</t>
  </si>
  <si>
    <t>Amount Outstanding</t>
  </si>
  <si>
    <t>Total limit</t>
  </si>
  <si>
    <t>Relationship to institution</t>
  </si>
  <si>
    <t>Name of borrower</t>
  </si>
  <si>
    <t>SCHEDULE 1 - INSIDER LOANS TO SHAREHOLDERS, DIRECTORS, AND OTHER RELATED PARTIES</t>
  </si>
  <si>
    <t>Total</t>
  </si>
  <si>
    <t>Maturity Date</t>
  </si>
  <si>
    <t>Interest Rate</t>
  </si>
  <si>
    <t>Outstanding Bal</t>
  </si>
  <si>
    <t>Amount Borrowed</t>
  </si>
  <si>
    <t>Source of Finance</t>
  </si>
  <si>
    <t>SCHEDULE  2 - LONG TERM DEBT</t>
  </si>
  <si>
    <t>GENERAL PROVISIONS</t>
  </si>
  <si>
    <t>SPECIFIC PROVISIONS</t>
  </si>
  <si>
    <t>GRAND TOTAL</t>
  </si>
  <si>
    <t>OTHER LOANS</t>
  </si>
  <si>
    <t>COMMERCIAL LOANS</t>
  </si>
  <si>
    <t>CONSUMER LOANS</t>
  </si>
  <si>
    <t xml:space="preserve">          +91days</t>
  </si>
  <si>
    <t xml:space="preserve"> TOTAL LOSS                                                                                            </t>
  </si>
  <si>
    <t xml:space="preserve">  61 - 90 days</t>
  </si>
  <si>
    <t>TOTAL DOUBTFUL</t>
  </si>
  <si>
    <t xml:space="preserve">         31-60 Days    </t>
  </si>
  <si>
    <t>TOTAL SUBSTANDARD</t>
  </si>
  <si>
    <t xml:space="preserve">          1-30 Days</t>
  </si>
  <si>
    <t>TOTAL SPECIAL MENTION</t>
  </si>
  <si>
    <t>TOTAL PASS - CURRENT</t>
  </si>
  <si>
    <t>PROVISIONS AMOUNT</t>
  </si>
  <si>
    <t>SUPERVISORY PROVISION %</t>
  </si>
  <si>
    <t>TOTAL LOANS</t>
  </si>
  <si>
    <t>DAYS OUTSTANDING/ARREARS</t>
  </si>
  <si>
    <t xml:space="preserve">CLASSIFICATION OF LOANS                               </t>
  </si>
  <si>
    <t xml:space="preserve">SCHEDULE 3 - ASSET QUALITY </t>
  </si>
  <si>
    <t>OTHER</t>
  </si>
  <si>
    <t>FUNERAL ASSISTANCE</t>
  </si>
  <si>
    <t>VENDORS</t>
  </si>
  <si>
    <t>CROSS BORDER TRADERS</t>
  </si>
  <si>
    <t>AGRICULTURE</t>
  </si>
  <si>
    <t>MINING</t>
  </si>
  <si>
    <t>EDUCATION</t>
  </si>
  <si>
    <t>HEALTH</t>
  </si>
  <si>
    <t>SERVICES</t>
  </si>
  <si>
    <t>CONSUMPTION</t>
  </si>
  <si>
    <t>RETAIL</t>
  </si>
  <si>
    <t>MANUFACTURING</t>
  </si>
  <si>
    <t>DISTRIBUTION</t>
  </si>
  <si>
    <t>PERCENTAGE OF TOTAL LOANS</t>
  </si>
  <si>
    <t>VALUE</t>
  </si>
  <si>
    <t>NUMBER OF LOANS</t>
  </si>
  <si>
    <t>NUMBER OF CLIENTS</t>
  </si>
  <si>
    <t xml:space="preserve">PURPOSE OF LOAN                                    </t>
  </si>
  <si>
    <t>SCHEDULE 4 - DISTRIBUTION OF  LOANS &amp; ADVANCES</t>
  </si>
  <si>
    <t>TOTAL NUMBER OF LOANS</t>
  </si>
  <si>
    <t>NUMBER OF FEMALE CLIENTS</t>
  </si>
  <si>
    <t>SCHEDULE 5 - GENDER DISTRIBUTION OF  LOANS &amp; ADVANCES</t>
  </si>
  <si>
    <t>viii) 181-360 days</t>
  </si>
  <si>
    <t>vii) 121-180 days</t>
  </si>
  <si>
    <t>vi) 91-120 days</t>
  </si>
  <si>
    <t>v) 61-90 days</t>
  </si>
  <si>
    <t>iv) 31-60 days</t>
  </si>
  <si>
    <t>iii) 15 -30 days</t>
  </si>
  <si>
    <t>ii) 8 - 14 days</t>
  </si>
  <si>
    <t>i) 0-7 days</t>
  </si>
  <si>
    <t>TOTAL INFLOWS/OUTFLOWS</t>
  </si>
  <si>
    <t>Cumulative Position</t>
  </si>
  <si>
    <t xml:space="preserve">Net position              </t>
  </si>
  <si>
    <t>CASH OUTFLOWS (Maturing Liabilities)</t>
  </si>
  <si>
    <t xml:space="preserve">CASH INFLOWS </t>
  </si>
  <si>
    <t>SCHEDULE 6  -  MATURITY PROFILE (Asset and Liability Maturities)</t>
  </si>
  <si>
    <t>VALUE OF SECURITY</t>
  </si>
  <si>
    <t>TYPE OF SECURITY</t>
  </si>
  <si>
    <t>MATURITY DATE</t>
  </si>
  <si>
    <t>BALANCE OUTSTANDING</t>
  </si>
  <si>
    <t>TOTAL AMOUNT BORROWED</t>
  </si>
  <si>
    <t>NAME OF BORROWER</t>
  </si>
  <si>
    <t>SCHEDULE 7 - T0P TWENTY BORROWERS</t>
  </si>
  <si>
    <t>Grand Totals</t>
  </si>
  <si>
    <t>MIDLANDS-Total</t>
  </si>
  <si>
    <t>MIDLANDS-Zvishavane</t>
  </si>
  <si>
    <t>MIDLANDS-Shurungwi</t>
  </si>
  <si>
    <t>MIDLANDS-Mberengwa</t>
  </si>
  <si>
    <t>MIDLANDS-Kwekwe</t>
  </si>
  <si>
    <t>MIDLANDS-Gweru</t>
  </si>
  <si>
    <t>MIDLANDS-Gokwe South</t>
  </si>
  <si>
    <t>MIDLANDS-Gokwe North</t>
  </si>
  <si>
    <t>MIDLANDS-Chirumhanzi</t>
  </si>
  <si>
    <t>MIDLANDS</t>
  </si>
  <si>
    <t>MATEBELELAND SOUTH-Total</t>
  </si>
  <si>
    <t>MATEBELELAND SOUTH-Insiza</t>
  </si>
  <si>
    <t>MATEBELELAND SOUTH-Umzingwane</t>
  </si>
  <si>
    <t>MATEBELELAND SOUTH-Makobo</t>
  </si>
  <si>
    <t>MATEBELELAND SOUTH-Gwanda</t>
  </si>
  <si>
    <t>MATEBELELAND SOUTH-Bulilimamangwe</t>
  </si>
  <si>
    <t>MATEBELELAND SOUTH-Beitbridge</t>
  </si>
  <si>
    <t>MATEBELELAND SOUTH</t>
  </si>
  <si>
    <t>MATEBELELAND NORTH-Total</t>
  </si>
  <si>
    <t>MATEBELELAND NORTH-Umguza</t>
  </si>
  <si>
    <t>MATEBELELAND NORTH-Tsholotsho</t>
  </si>
  <si>
    <t>MATEBELELAND NORTH-Nkayi</t>
  </si>
  <si>
    <t>MATEBELELAND NORTH-Lupane</t>
  </si>
  <si>
    <t>MATEBELELAND NORTH-Hwange</t>
  </si>
  <si>
    <t>MATEBELELAND NORTH-Bubi</t>
  </si>
  <si>
    <t>MATEBELELAND NORTH-Binga</t>
  </si>
  <si>
    <t>MATEBELELAND NORTH</t>
  </si>
  <si>
    <t>MASVINGO-Total</t>
  </si>
  <si>
    <t>MASVINGO-Zaka</t>
  </si>
  <si>
    <t>MASVINGO-Mwenezi</t>
  </si>
  <si>
    <t>MASVINGO-Masvingo</t>
  </si>
  <si>
    <t>MASVINGO-Gutu</t>
  </si>
  <si>
    <t>MASVINGO-Chivi</t>
  </si>
  <si>
    <t>MASVINGO-Chiredzi</t>
  </si>
  <si>
    <t>MASVINGO-Bikita</t>
  </si>
  <si>
    <t>MASVINGO</t>
  </si>
  <si>
    <t>MASHONALAND WEST-Total</t>
  </si>
  <si>
    <t>MASHONALAND WEST-Zvimba</t>
  </si>
  <si>
    <t>MASHONALAND WEST-Makonde</t>
  </si>
  <si>
    <t>MASHONALAND WEST-Kariba</t>
  </si>
  <si>
    <t>MASHONALAND WEST-Kadoma</t>
  </si>
  <si>
    <t>MASHONALAND WEST-Hurungwe</t>
  </si>
  <si>
    <t>MASHONALAND WEST-Chegutu</t>
  </si>
  <si>
    <t>MASHONALAND WEST</t>
  </si>
  <si>
    <t>MASHONALAND EAST-Total</t>
  </si>
  <si>
    <t>MASHONALAND EAST-Uzumba</t>
  </si>
  <si>
    <t>MASHONALAND EAST-Seke</t>
  </si>
  <si>
    <t>MASHONALAND EAST-Mutoko</t>
  </si>
  <si>
    <t>MASHONALAND EAST-Murehwa</t>
  </si>
  <si>
    <t>MASHONALAND EAST-Mudzi</t>
  </si>
  <si>
    <t>MASHONALAND EAST-Marondera</t>
  </si>
  <si>
    <t>MASHONALAND EAST-Hwedza</t>
  </si>
  <si>
    <t>MASHONALAND EAST-Goromonzi</t>
  </si>
  <si>
    <t>MASHONALAND EAST-Chikomba</t>
  </si>
  <si>
    <t>MASHONALAND EAST</t>
  </si>
  <si>
    <t>MASHONALAND CENTRAL-Total</t>
  </si>
  <si>
    <t>MASHONALAND CENTRAL-Shamva</t>
  </si>
  <si>
    <t>MASHONALAND CENTRAL-Rushinga</t>
  </si>
  <si>
    <t>MASHONALAND CENTRAL-Muzarabani</t>
  </si>
  <si>
    <t>MASHONALAND CENTRAL-Mukumbura</t>
  </si>
  <si>
    <t>MASHONALAND CENTRAL-Mbire</t>
  </si>
  <si>
    <t>MASHONALAND CENTRAL-Mazowe</t>
  </si>
  <si>
    <t>MASHONALAND CENTRAL-Guruve</t>
  </si>
  <si>
    <t>MASHONALAND CENTRAL-Bindura</t>
  </si>
  <si>
    <t>MASHONALAND CENTRAL</t>
  </si>
  <si>
    <t>MANICALAND-Total</t>
  </si>
  <si>
    <t>MANICALAND-Nyanga</t>
  </si>
  <si>
    <t>MANICALAND-Mutasa</t>
  </si>
  <si>
    <t>MANICALAND-Mutare</t>
  </si>
  <si>
    <t>MANICALAND-Makoni</t>
  </si>
  <si>
    <t>MANICALAND-Chipinge</t>
  </si>
  <si>
    <t>MANICALAND-Chimanimani</t>
  </si>
  <si>
    <t>MANICALAND-Buhera</t>
  </si>
  <si>
    <t>MANICALAND</t>
  </si>
  <si>
    <t>HARARE-Total</t>
  </si>
  <si>
    <t xml:space="preserve">HARARE-Harare </t>
  </si>
  <si>
    <t xml:space="preserve"> HARARE-Chitungwiza</t>
  </si>
  <si>
    <t>HARARE</t>
  </si>
  <si>
    <r>
      <rPr>
        <sz val="14"/>
        <rFont val="Calibri"/>
        <family val="2"/>
      </rPr>
      <t>BULAWAYO-</t>
    </r>
    <r>
      <rPr>
        <b/>
        <sz val="14"/>
        <rFont val="Calibri"/>
        <family val="2"/>
      </rPr>
      <t>Bulawayo</t>
    </r>
  </si>
  <si>
    <t>BULAWAYO</t>
  </si>
  <si>
    <t>Other  (VALUE)</t>
  </si>
  <si>
    <t>Mobile POS (VALUE)</t>
  </si>
  <si>
    <t>RTGS/Transfers POS (VALUE)</t>
  </si>
  <si>
    <t>Internet  (VALUE)</t>
  </si>
  <si>
    <t>ATMs (VALUE)</t>
  </si>
  <si>
    <t>POS (VALUE)</t>
  </si>
  <si>
    <t>Number of Urban Satellite/ Sub Branches</t>
  </si>
  <si>
    <t>Number of Rural Satellite/ Sub Branches</t>
  </si>
  <si>
    <t>Number of Mobile Urban branches</t>
  </si>
  <si>
    <t>Number of Mobile Rural Branches</t>
  </si>
  <si>
    <t>Number of Urban Agencies</t>
  </si>
  <si>
    <t>Number of Rural Agencies</t>
  </si>
  <si>
    <t>Number of Urban ATMs</t>
  </si>
  <si>
    <t>Number of Rural ATMs</t>
  </si>
  <si>
    <t>Number of Urban POS</t>
  </si>
  <si>
    <t>Number of Rural POS</t>
  </si>
  <si>
    <t>Number of Urban branches</t>
  </si>
  <si>
    <t>Number of Rural Branches</t>
  </si>
  <si>
    <t>DISTRICTS</t>
  </si>
  <si>
    <t>PROVINCE</t>
  </si>
  <si>
    <t>VALUE($)</t>
  </si>
  <si>
    <t>DELIVERY CHANNELS</t>
  </si>
  <si>
    <t>ACCESS BY DISTRICT</t>
  </si>
  <si>
    <t>DTMFI-ABDDK002</t>
  </si>
  <si>
    <t>4.5 VALUE OF LOANS UNDER LITIGATION</t>
  </si>
  <si>
    <t>4.4  NUMBER OF LOANS UNDER LITIGATION</t>
  </si>
  <si>
    <t>4.2  VALUE OF LOANS WRITTEN OFF</t>
  </si>
  <si>
    <t xml:space="preserve">4.1 NUMBER OF LOANS WRITTEN OFF DURING PERIOD </t>
  </si>
  <si>
    <t>4. WRITE-OFFS</t>
  </si>
  <si>
    <t xml:space="preserve">3.13 NUMBER OF ROLLED OVER/RENEGOTIATED LOANS </t>
  </si>
  <si>
    <t xml:space="preserve">3.12 VALUE OF ROLLED OVER/RENEGOTIATED LOANS </t>
  </si>
  <si>
    <t xml:space="preserve">3.11 COLLECTION RATE (%) </t>
  </si>
  <si>
    <t xml:space="preserve">3.10  SCHEDULED AMOUNTS DUE IN PERIOD PLUS ARREARS </t>
  </si>
  <si>
    <t>3.9 TOTAL LOAN REPAYMENTS FROM BORROWERS IN THE CURRENT QUARTER</t>
  </si>
  <si>
    <r>
      <t>3.8  VALUE OF OUTSTANDING LOANS IN ARREARS (</t>
    </r>
    <r>
      <rPr>
        <sz val="12"/>
        <color indexed="10"/>
        <rFont val="Arial"/>
        <family val="2"/>
      </rPr>
      <t>Greater than 90 days</t>
    </r>
    <r>
      <rPr>
        <sz val="12"/>
        <rFont val="Arial"/>
        <family val="2"/>
      </rPr>
      <t>)</t>
    </r>
  </si>
  <si>
    <r>
      <t>3.7  NUMBER OF LOANS IN ARREARS (</t>
    </r>
    <r>
      <rPr>
        <sz val="12"/>
        <color indexed="10"/>
        <rFont val="Arial"/>
        <family val="2"/>
      </rPr>
      <t>Greater than 90 days</t>
    </r>
    <r>
      <rPr>
        <sz val="12"/>
        <rFont val="Arial"/>
        <family val="2"/>
      </rPr>
      <t>)</t>
    </r>
  </si>
  <si>
    <r>
      <t>3.6  VALUE OF OUTSTANDING LOANS IN ARREARS (</t>
    </r>
    <r>
      <rPr>
        <sz val="12"/>
        <color indexed="10"/>
        <rFont val="Arial"/>
        <family val="2"/>
      </rPr>
      <t>Greater than 60 days</t>
    </r>
    <r>
      <rPr>
        <sz val="12"/>
        <rFont val="Arial"/>
        <family val="2"/>
      </rPr>
      <t>)</t>
    </r>
  </si>
  <si>
    <r>
      <t>3.5  NUMBER OF LOANS IN ARREARS (</t>
    </r>
    <r>
      <rPr>
        <sz val="12"/>
        <color indexed="10"/>
        <rFont val="Arial"/>
        <family val="2"/>
      </rPr>
      <t>Greater than 60 days</t>
    </r>
    <r>
      <rPr>
        <sz val="12"/>
        <rFont val="Arial"/>
        <family val="2"/>
      </rPr>
      <t xml:space="preserve">) </t>
    </r>
  </si>
  <si>
    <r>
      <t>3.4  VALUE OF OUTSTANDING LOANS IN ARREARS (</t>
    </r>
    <r>
      <rPr>
        <sz val="12"/>
        <color indexed="10"/>
        <rFont val="Arial"/>
        <family val="2"/>
      </rPr>
      <t>Greater than 30 day</t>
    </r>
    <r>
      <rPr>
        <sz val="12"/>
        <rFont val="Arial"/>
        <family val="2"/>
      </rPr>
      <t>s)</t>
    </r>
  </si>
  <si>
    <r>
      <t>3.3  NUMBER OF LOANS IN ARREARS (</t>
    </r>
    <r>
      <rPr>
        <sz val="12"/>
        <color indexed="10"/>
        <rFont val="Arial"/>
        <family val="2"/>
      </rPr>
      <t>Greater than 30 days</t>
    </r>
    <r>
      <rPr>
        <sz val="12"/>
        <rFont val="Arial"/>
        <family val="2"/>
      </rPr>
      <t>)</t>
    </r>
  </si>
  <si>
    <r>
      <t>3.2  VALUE OF LOANS IN ARREARS (</t>
    </r>
    <r>
      <rPr>
        <sz val="12"/>
        <color indexed="10"/>
        <rFont val="Arial"/>
        <family val="2"/>
      </rPr>
      <t>Greater than 1 day</t>
    </r>
    <r>
      <rPr>
        <sz val="12"/>
        <rFont val="Arial"/>
        <family val="2"/>
      </rPr>
      <t>)</t>
    </r>
  </si>
  <si>
    <t>3.1 NUMBER OF LOANS IN ARREARS (Principal plus interest)</t>
  </si>
  <si>
    <t>3. PORTFOLIO QUALITY</t>
  </si>
  <si>
    <r>
      <t xml:space="preserve">2.7  </t>
    </r>
    <r>
      <rPr>
        <strike/>
        <sz val="12"/>
        <rFont val="Arial"/>
        <family val="2"/>
      </rPr>
      <t xml:space="preserve">% </t>
    </r>
    <r>
      <rPr>
        <sz val="12"/>
        <rFont val="Arial"/>
        <family val="2"/>
      </rPr>
      <t>OF FEMALE BORROWERS  TO  TOTAL BORROWERS</t>
    </r>
  </si>
  <si>
    <r>
      <t xml:space="preserve">2.6  NUMBER OF LOANS WITH A DISBURSED LOAN AMOUNT MORE THAN </t>
    </r>
    <r>
      <rPr>
        <sz val="12"/>
        <color indexed="10"/>
        <rFont val="Arial"/>
        <family val="2"/>
      </rPr>
      <t>$5,000</t>
    </r>
  </si>
  <si>
    <t xml:space="preserve">2.5  NUMBER OF ACTIVE LOAN CLIENTS RECEIVING LOANS AS INDIVIDUALS </t>
  </si>
  <si>
    <t xml:space="preserve">2.4  NUMBER OF ACTIVE LOAN CLIENTS RECEIVING LOANS AS MEMBERS OF A GROUP  </t>
  </si>
  <si>
    <t>2.3  NUMBER OF BORROWING GROUPS</t>
  </si>
  <si>
    <r>
      <t xml:space="preserve">2.2  NUMBER OF ACTIVE LOAN CLIENTS IN </t>
    </r>
    <r>
      <rPr>
        <sz val="12"/>
        <color indexed="10"/>
        <rFont val="Arial"/>
        <family val="2"/>
      </rPr>
      <t>RURAL BRANCHES (definition)</t>
    </r>
  </si>
  <si>
    <t xml:space="preserve">    2.1.2 RURAL </t>
  </si>
  <si>
    <t xml:space="preserve">    2.1.1 URBAN</t>
  </si>
  <si>
    <t xml:space="preserve">2.1  NUMBER OF BRANCHES </t>
  </si>
  <si>
    <t>2. OUTREACH</t>
  </si>
  <si>
    <t>1.10  TOTAL NUMBER OF ALL CLIENTS (ACTIVE + NON ACTIVE)</t>
  </si>
  <si>
    <t>1.9  AVERAGE LOAN TERM IN MONTHS</t>
  </si>
  <si>
    <t xml:space="preserve">1.8  NUMBER OF OUTSTANDING LOANS </t>
  </si>
  <si>
    <t xml:space="preserve">1.7  DROP OUT/GROWTH RATE (%) </t>
  </si>
  <si>
    <t>1.6  NUMBER OF ACTIVE  CLIENTS AT END OF QUARTER</t>
  </si>
  <si>
    <t>1.5  NUMBER OF ACTIVE CLIENTS AT START OF QUARTER</t>
  </si>
  <si>
    <t xml:space="preserve">1.4  NUMBER OF CLIENTS TAKING SECOND AND SUBSEQUENT LOANS </t>
  </si>
  <si>
    <t xml:space="preserve">1.3  NUMBER OF CLIENTS TAKING FIRST LOAN </t>
  </si>
  <si>
    <t xml:space="preserve">1.2  VALUE OF LOANS DISBURSED </t>
  </si>
  <si>
    <t xml:space="preserve">1.1  NUMBER OF LOANS DISBURSED </t>
  </si>
  <si>
    <t>VALUE/NUMBER</t>
  </si>
  <si>
    <t xml:space="preserve">1 PORTFOLIO ACTIVITY                        </t>
  </si>
  <si>
    <t>SCHEDULE 8 - PORTFOLIO  MANAGEMENT</t>
  </si>
  <si>
    <t>13 LAWYERS</t>
  </si>
  <si>
    <t>12 BANKERS</t>
  </si>
  <si>
    <t xml:space="preserve">11 EXTERNAL AUDITORS        </t>
  </si>
  <si>
    <t>10( b) Male</t>
  </si>
  <si>
    <t>10 (a) Female</t>
  </si>
  <si>
    <t>10 NUMBER OF LOAN OFFICERS</t>
  </si>
  <si>
    <t>9 (b) Male</t>
  </si>
  <si>
    <t>9 (a) Female</t>
  </si>
  <si>
    <t>9 NUMBER OF EMPLOYEES</t>
  </si>
  <si>
    <t>8 NUMBER OF BRANCHES</t>
  </si>
  <si>
    <t>7 CONTACT PERSON</t>
  </si>
  <si>
    <t>6 CONTACT TELEPHONES</t>
  </si>
  <si>
    <t>5 POSTAL ADDRESS</t>
  </si>
  <si>
    <t>4 PHYSICAL ADDRESS</t>
  </si>
  <si>
    <t>3 DATE COMMENCED OPERATIONS</t>
  </si>
  <si>
    <t>2 LICENCE NUMBER</t>
  </si>
  <si>
    <t>1 NAME OF INSTITUTION</t>
  </si>
  <si>
    <t>SCHEDULE 9 - COMPANY PROFILE</t>
  </si>
  <si>
    <t>MFI9-TOP BORROWERS-L9001</t>
  </si>
  <si>
    <t>MFI2-SFP-L2001</t>
  </si>
  <si>
    <t>MFI3-INSIDER LOANS-L3001</t>
  </si>
  <si>
    <t>MFI4-LONG TERM DEBT-L4001</t>
  </si>
  <si>
    <t>MFI8-MATURITY PROF-L8001</t>
  </si>
  <si>
    <t>MFI-PORTFOLIO.MNGMT-LG001</t>
  </si>
  <si>
    <t>MFI-ASSET.QUALITY-L0001</t>
  </si>
  <si>
    <t>MFI-LOAN.DISTRIBUTE-LE001</t>
  </si>
  <si>
    <t>MFI11-CO PROFILE-LB001</t>
  </si>
  <si>
    <t>MFI-GENDER.DISTRIBU-LF001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</si>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</sst>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3009]dd\-mmm\-yy;@"/>
    <numFmt numFmtId="165" formatCode="yyyy\/mm\/dd"/>
    <numFmt numFmtId="166" formatCode="dd\ mmm\ yyyy"/>
    <numFmt numFmtId="167" formatCode="_(* #,##0_);_(* \(#,##0\);_(* &quot;-&quot;??_);_(@_)"/>
  </numFmts>
  <fonts count="48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4"/>
      <name val="Arial Narrow"/>
      <family val="2"/>
    </font>
    <font>
      <b/>
      <sz val="14"/>
      <name val="Arial Narrow"/>
      <family val="2"/>
    </font>
    <font>
      <b/>
      <i/>
      <sz val="14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FF0000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0"/>
      <color indexed="12"/>
      <name val="Arial"/>
      <family val="2"/>
    </font>
    <font>
      <b/>
      <sz val="16"/>
      <name val="Arial Narrow"/>
      <family val="2"/>
    </font>
    <font>
      <sz val="12"/>
      <color indexed="81"/>
      <name val="Tahoma"/>
      <family val="2"/>
    </font>
    <font>
      <sz val="12"/>
      <name val="Arial"/>
      <family val="2"/>
    </font>
    <font>
      <sz val="12"/>
      <name val="Arial Narrow"/>
      <family val="2"/>
    </font>
    <font>
      <b/>
      <sz val="16"/>
      <color theme="1"/>
      <name val="Arial"/>
      <family val="2"/>
    </font>
    <font>
      <sz val="16"/>
      <name val="Arial Narrow"/>
      <family val="2"/>
    </font>
    <font>
      <b/>
      <sz val="16"/>
      <color indexed="12"/>
      <name val="Arial Narrow"/>
      <family val="2"/>
    </font>
    <font>
      <i/>
      <sz val="16"/>
      <color rgb="FFFF0000"/>
      <name val="Arial"/>
      <family val="2"/>
    </font>
    <font>
      <sz val="11"/>
      <color indexed="81"/>
      <name val="Tahoma"/>
      <family val="2"/>
    </font>
    <font>
      <sz val="10"/>
      <name val="Arial"/>
    </font>
    <font>
      <sz val="18"/>
      <name val="Arial"/>
      <family val="2"/>
    </font>
    <font>
      <i/>
      <sz val="18"/>
      <name val="Arial"/>
      <family val="2"/>
    </font>
    <font>
      <sz val="11"/>
      <color rgb="FF000000"/>
      <name val="Calibri"/>
      <family val="2"/>
      <scheme val="minor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10"/>
      <name val="Arial"/>
      <family val="2"/>
    </font>
    <font>
      <strike/>
      <sz val="12"/>
      <name val="Arial"/>
      <family val="2"/>
    </font>
    <font>
      <b/>
      <sz val="12"/>
      <color indexed="81"/>
      <name val="Tahoma"/>
      <family val="2"/>
    </font>
    <font>
      <b/>
      <sz val="16"/>
      <color rgb="FFFF0000"/>
      <name val="Arial"/>
      <family val="2"/>
    </font>
    <font>
      <b/>
      <sz val="12"/>
      <color rgb="FFFF0000"/>
      <name val="Open Sans"/>
      <family val="2"/>
    </font>
    <font>
      <b/>
      <sz val="12"/>
      <color rgb="FFFF0000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89A6F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E8E7AF"/>
        <bgColor rgb="FF000000"/>
      </patternFill>
    </fill>
    <fill>
      <patternFill patternType="solid">
        <fgColor rgb="FFECECE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CD8F2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C1FAA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/>
    <xf numFmtId="0" fontId="33" fillId="0" borderId="0"/>
  </cellStyleXfs>
  <cellXfs count="312">
    <xf numFmtId="0" fontId="0" fillId="0" borderId="0" xfId="0"/>
    <xf numFmtId="0" fontId="0" fillId="0" borderId="0" xfId="0" applyProtection="1"/>
    <xf numFmtId="43" fontId="2" fillId="2" borderId="1" xfId="0" applyNumberFormat="1" applyFont="1" applyFill="1" applyBorder="1" applyProtection="1"/>
    <xf numFmtId="0" fontId="2" fillId="2" borderId="1" xfId="0" applyFont="1" applyFill="1" applyBorder="1" applyProtection="1"/>
    <xf numFmtId="0" fontId="3" fillId="0" borderId="1" xfId="0" applyFont="1" applyBorder="1" applyAlignment="1" applyProtection="1"/>
    <xf numFmtId="43" fontId="2" fillId="3" borderId="1" xfId="1" applyFont="1" applyFill="1" applyBorder="1" applyProtection="1">
      <protection locked="0"/>
    </xf>
    <xf numFmtId="0" fontId="4" fillId="0" borderId="1" xfId="0" applyFont="1" applyBorder="1" applyAlignment="1" applyProtection="1"/>
    <xf numFmtId="0" fontId="5" fillId="0" borderId="1" xfId="0" applyFont="1" applyBorder="1" applyAlignment="1" applyProtection="1">
      <alignment horizontal="left"/>
    </xf>
    <xf numFmtId="0" fontId="3" fillId="0" borderId="1" xfId="0" applyFont="1" applyBorder="1" applyAlignment="1" applyProtection="1">
      <alignment horizontal="left"/>
    </xf>
    <xf numFmtId="0" fontId="2" fillId="0" borderId="1" xfId="0" applyFont="1" applyBorder="1" applyAlignment="1" applyProtection="1"/>
    <xf numFmtId="0" fontId="7" fillId="0" borderId="1" xfId="0" applyFont="1" applyBorder="1" applyProtection="1"/>
    <xf numFmtId="43" fontId="7" fillId="2" borderId="1" xfId="0" applyNumberFormat="1" applyFont="1" applyFill="1" applyBorder="1" applyProtection="1"/>
    <xf numFmtId="0" fontId="7" fillId="2" borderId="1" xfId="0" applyFont="1" applyFill="1" applyBorder="1" applyProtection="1"/>
    <xf numFmtId="43" fontId="7" fillId="3" borderId="1" xfId="1" applyFont="1" applyFill="1" applyBorder="1" applyProtection="1">
      <protection locked="0"/>
    </xf>
    <xf numFmtId="43" fontId="7" fillId="2" borderId="1" xfId="1" applyFont="1" applyFill="1" applyBorder="1" applyProtection="1"/>
    <xf numFmtId="43" fontId="8" fillId="2" borderId="1" xfId="1" applyFont="1" applyFill="1" applyBorder="1" applyAlignment="1" applyProtection="1"/>
    <xf numFmtId="0" fontId="7" fillId="2" borderId="1" xfId="0" applyFont="1" applyFill="1" applyBorder="1" applyAlignment="1" applyProtection="1"/>
    <xf numFmtId="43" fontId="7" fillId="3" borderId="1" xfId="1" applyFont="1" applyFill="1" applyBorder="1" applyAlignment="1" applyProtection="1">
      <protection locked="0"/>
    </xf>
    <xf numFmtId="0" fontId="7" fillId="0" borderId="1" xfId="0" applyFont="1" applyBorder="1" applyAlignment="1" applyProtection="1">
      <alignment horizontal="left" indent="1"/>
    </xf>
    <xf numFmtId="43" fontId="8" fillId="3" borderId="1" xfId="1" applyFont="1" applyFill="1" applyBorder="1" applyAlignment="1" applyProtection="1">
      <protection locked="0"/>
    </xf>
    <xf numFmtId="0" fontId="8" fillId="2" borderId="1" xfId="0" applyFont="1" applyFill="1" applyBorder="1" applyAlignment="1" applyProtection="1"/>
    <xf numFmtId="43" fontId="9" fillId="2" borderId="1" xfId="1" applyFont="1" applyFill="1" applyBorder="1" applyAlignment="1" applyProtection="1"/>
    <xf numFmtId="0" fontId="8" fillId="0" borderId="1" xfId="0" applyFont="1" applyBorder="1" applyAlignment="1" applyProtection="1">
      <alignment horizontal="left" indent="1"/>
    </xf>
    <xf numFmtId="43" fontId="7" fillId="2" borderId="1" xfId="1" applyFont="1" applyFill="1" applyBorder="1" applyAlignment="1" applyProtection="1"/>
    <xf numFmtId="0" fontId="2" fillId="0" borderId="1" xfId="0" applyFont="1" applyFill="1" applyBorder="1" applyAlignment="1" applyProtection="1"/>
    <xf numFmtId="0" fontId="7" fillId="0" borderId="1" xfId="0" applyFont="1" applyFill="1" applyBorder="1" applyAlignment="1" applyProtection="1">
      <alignment horizontal="left" indent="1"/>
    </xf>
    <xf numFmtId="0" fontId="5" fillId="0" borderId="1" xfId="0" applyFont="1" applyFill="1" applyBorder="1" applyAlignment="1" applyProtection="1">
      <alignment horizontal="left" indent="1"/>
    </xf>
    <xf numFmtId="0" fontId="8" fillId="2" borderId="1" xfId="0" applyNumberFormat="1" applyFont="1" applyFill="1" applyBorder="1" applyAlignment="1" applyProtection="1"/>
    <xf numFmtId="0" fontId="3" fillId="0" borderId="1" xfId="0" applyFont="1" applyFill="1" applyBorder="1" applyAlignment="1" applyProtection="1"/>
    <xf numFmtId="0" fontId="9" fillId="2" borderId="1" xfId="0" applyNumberFormat="1" applyFont="1" applyFill="1" applyBorder="1" applyAlignment="1" applyProtection="1"/>
    <xf numFmtId="0" fontId="1" fillId="0" borderId="0" xfId="0" applyFont="1" applyProtection="1"/>
    <xf numFmtId="0" fontId="7" fillId="0" borderId="1" xfId="0" applyFont="1" applyBorder="1" applyAlignment="1" applyProtection="1"/>
    <xf numFmtId="0" fontId="1" fillId="0" borderId="0" xfId="0" applyFont="1" applyFill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 applyProtection="1"/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0" fillId="0" borderId="0" xfId="0" applyBorder="1" applyAlignment="1"/>
    <xf numFmtId="0" fontId="13" fillId="0" borderId="0" xfId="0" applyFont="1" applyProtection="1">
      <protection locked="0"/>
    </xf>
    <xf numFmtId="49" fontId="12" fillId="0" borderId="0" xfId="0" applyNumberFormat="1" applyFont="1" applyProtection="1">
      <protection locked="0"/>
    </xf>
    <xf numFmtId="0" fontId="1" fillId="0" borderId="0" xfId="0" applyFont="1" applyFill="1" applyProtection="1"/>
    <xf numFmtId="0" fontId="1" fillId="0" borderId="0" xfId="0" applyFont="1" applyBorder="1" applyProtection="1"/>
    <xf numFmtId="0" fontId="1" fillId="0" borderId="0" xfId="0" applyFont="1" applyFill="1" applyBorder="1" applyAlignment="1" applyProtection="1">
      <alignment horizontal="left" indent="1"/>
    </xf>
    <xf numFmtId="43" fontId="1" fillId="2" borderId="4" xfId="1" applyFont="1" applyFill="1" applyBorder="1" applyProtection="1"/>
    <xf numFmtId="0" fontId="16" fillId="0" borderId="1" xfId="0" applyFont="1" applyBorder="1" applyAlignment="1" applyProtection="1"/>
    <xf numFmtId="43" fontId="1" fillId="3" borderId="6" xfId="1" applyFont="1" applyFill="1" applyBorder="1" applyProtection="1">
      <protection locked="0"/>
    </xf>
    <xf numFmtId="0" fontId="1" fillId="0" borderId="7" xfId="0" applyFont="1" applyFill="1" applyBorder="1" applyAlignment="1" applyProtection="1">
      <alignment horizontal="left" indent="1"/>
    </xf>
    <xf numFmtId="43" fontId="1" fillId="2" borderId="6" xfId="1" applyFont="1" applyFill="1" applyBorder="1" applyProtection="1"/>
    <xf numFmtId="0" fontId="1" fillId="0" borderId="7" xfId="0" applyFont="1" applyFill="1" applyBorder="1" applyAlignment="1" applyProtection="1"/>
    <xf numFmtId="43" fontId="0" fillId="3" borderId="6" xfId="1" applyFont="1" applyFill="1" applyBorder="1" applyProtection="1">
      <protection locked="0"/>
    </xf>
    <xf numFmtId="43" fontId="1" fillId="2" borderId="1" xfId="1" applyFont="1" applyFill="1" applyBorder="1" applyProtection="1"/>
    <xf numFmtId="0" fontId="17" fillId="0" borderId="7" xfId="0" applyFont="1" applyFill="1" applyBorder="1" applyAlignment="1" applyProtection="1">
      <alignment horizontal="left"/>
    </xf>
    <xf numFmtId="0" fontId="18" fillId="0" borderId="7" xfId="0" applyFont="1" applyFill="1" applyBorder="1" applyAlignment="1" applyProtection="1">
      <alignment horizontal="left"/>
    </xf>
    <xf numFmtId="0" fontId="18" fillId="0" borderId="6" xfId="0" applyFont="1" applyFill="1" applyBorder="1" applyProtection="1"/>
    <xf numFmtId="0" fontId="19" fillId="0" borderId="7" xfId="0" applyFont="1" applyFill="1" applyBorder="1" applyAlignment="1" applyProtection="1">
      <alignment horizontal="left"/>
    </xf>
    <xf numFmtId="0" fontId="17" fillId="0" borderId="1" xfId="0" applyFont="1" applyBorder="1" applyAlignment="1" applyProtection="1"/>
    <xf numFmtId="0" fontId="16" fillId="0" borderId="8" xfId="0" applyFont="1" applyFill="1" applyBorder="1" applyAlignment="1" applyProtection="1">
      <alignment horizontal="left"/>
    </xf>
    <xf numFmtId="0" fontId="1" fillId="0" borderId="8" xfId="0" applyFont="1" applyFill="1" applyBorder="1" applyAlignment="1" applyProtection="1">
      <alignment horizontal="left" indent="1"/>
    </xf>
    <xf numFmtId="0" fontId="1" fillId="0" borderId="8" xfId="0" applyFont="1" applyFill="1" applyBorder="1" applyAlignment="1" applyProtection="1">
      <alignment horizontal="left" indent="2"/>
    </xf>
    <xf numFmtId="0" fontId="18" fillId="0" borderId="0" xfId="0" applyFont="1" applyProtection="1"/>
    <xf numFmtId="43" fontId="18" fillId="2" borderId="1" xfId="1" applyFont="1" applyFill="1" applyBorder="1" applyProtection="1"/>
    <xf numFmtId="0" fontId="1" fillId="0" borderId="8" xfId="0" applyFont="1" applyFill="1" applyBorder="1" applyAlignment="1" applyProtection="1">
      <alignment horizontal="left"/>
    </xf>
    <xf numFmtId="43" fontId="1" fillId="4" borderId="9" xfId="0" applyNumberFormat="1" applyFont="1" applyFill="1" applyBorder="1" applyProtection="1"/>
    <xf numFmtId="0" fontId="15" fillId="0" borderId="10" xfId="0" applyFont="1" applyFill="1" applyBorder="1" applyAlignment="1" applyProtection="1">
      <alignment horizontal="left"/>
    </xf>
    <xf numFmtId="0" fontId="18" fillId="4" borderId="11" xfId="0" applyFont="1" applyFill="1" applyBorder="1" applyProtection="1"/>
    <xf numFmtId="0" fontId="20" fillId="0" borderId="13" xfId="0" applyFont="1" applyFill="1" applyBorder="1" applyProtection="1"/>
    <xf numFmtId="0" fontId="12" fillId="0" borderId="0" xfId="0" applyFont="1" applyFill="1" applyProtection="1">
      <protection locked="0"/>
    </xf>
    <xf numFmtId="0" fontId="11" fillId="0" borderId="0" xfId="0" applyFont="1" applyFill="1" applyProtection="1">
      <protection locked="0"/>
    </xf>
    <xf numFmtId="43" fontId="1" fillId="3" borderId="5" xfId="1" applyFont="1" applyFill="1" applyBorder="1" applyProtection="1">
      <protection locked="0"/>
    </xf>
    <xf numFmtId="9" fontId="1" fillId="3" borderId="5" xfId="2" applyFont="1" applyFill="1" applyBorder="1" applyProtection="1">
      <protection locked="0"/>
    </xf>
    <xf numFmtId="43" fontId="1" fillId="3" borderId="18" xfId="1" applyFont="1" applyFill="1" applyBorder="1" applyProtection="1">
      <protection locked="0"/>
    </xf>
    <xf numFmtId="43" fontId="1" fillId="3" borderId="1" xfId="1" applyFont="1" applyFill="1" applyBorder="1" applyProtection="1">
      <protection locked="0"/>
    </xf>
    <xf numFmtId="9" fontId="1" fillId="3" borderId="1" xfId="2" applyFont="1" applyFill="1" applyBorder="1" applyProtection="1">
      <protection locked="0"/>
    </xf>
    <xf numFmtId="43" fontId="1" fillId="3" borderId="7" xfId="1" applyFont="1" applyFill="1" applyBorder="1" applyProtection="1">
      <protection locked="0"/>
    </xf>
    <xf numFmtId="43" fontId="1" fillId="3" borderId="1" xfId="1" applyFont="1" applyFill="1" applyBorder="1" applyAlignment="1" applyProtection="1">
      <alignment horizontal="right"/>
      <protection locked="0"/>
    </xf>
    <xf numFmtId="43" fontId="23" fillId="3" borderId="1" xfId="1" applyFont="1" applyFill="1" applyBorder="1" applyAlignment="1" applyProtection="1">
      <alignment horizontal="left"/>
      <protection locked="0"/>
    </xf>
    <xf numFmtId="9" fontId="24" fillId="3" borderId="1" xfId="2" applyFont="1" applyFill="1" applyBorder="1" applyAlignment="1" applyProtection="1">
      <alignment horizontal="left"/>
      <protection locked="0"/>
    </xf>
    <xf numFmtId="43" fontId="24" fillId="3" borderId="1" xfId="1" applyFont="1" applyFill="1" applyBorder="1" applyAlignment="1" applyProtection="1">
      <alignment horizontal="left"/>
      <protection locked="0"/>
    </xf>
    <xf numFmtId="43" fontId="23" fillId="3" borderId="1" xfId="1" applyFont="1" applyFill="1" applyBorder="1" applyProtection="1">
      <protection locked="0"/>
    </xf>
    <xf numFmtId="43" fontId="24" fillId="3" borderId="7" xfId="1" applyFont="1" applyFill="1" applyBorder="1" applyAlignment="1" applyProtection="1">
      <alignment horizontal="left"/>
      <protection locked="0"/>
    </xf>
    <xf numFmtId="43" fontId="1" fillId="3" borderId="1" xfId="1" applyFont="1" applyFill="1" applyBorder="1" applyAlignment="1" applyProtection="1">
      <alignment horizontal="right"/>
    </xf>
    <xf numFmtId="43" fontId="23" fillId="3" borderId="1" xfId="1" applyFont="1" applyFill="1" applyBorder="1" applyAlignment="1" applyProtection="1">
      <alignment horizontal="left"/>
    </xf>
    <xf numFmtId="9" fontId="24" fillId="3" borderId="1" xfId="2" applyFont="1" applyFill="1" applyBorder="1" applyAlignment="1" applyProtection="1">
      <alignment horizontal="left"/>
    </xf>
    <xf numFmtId="43" fontId="24" fillId="3" borderId="1" xfId="1" applyFont="1" applyFill="1" applyBorder="1" applyAlignment="1" applyProtection="1">
      <alignment horizontal="left"/>
    </xf>
    <xf numFmtId="43" fontId="24" fillId="3" borderId="7" xfId="1" applyFont="1" applyFill="1" applyBorder="1" applyAlignment="1" applyProtection="1">
      <alignment horizontal="left"/>
    </xf>
    <xf numFmtId="43" fontId="21" fillId="2" borderId="1" xfId="1" applyFont="1" applyFill="1" applyBorder="1" applyAlignment="1" applyProtection="1">
      <alignment horizontal="left"/>
    </xf>
    <xf numFmtId="0" fontId="12" fillId="2" borderId="7" xfId="0" applyFont="1" applyFill="1" applyBorder="1" applyAlignment="1" applyProtection="1">
      <alignment horizontal="right"/>
    </xf>
    <xf numFmtId="0" fontId="12" fillId="2" borderId="1" xfId="0" applyFont="1" applyFill="1" applyBorder="1" applyAlignment="1" applyProtection="1">
      <alignment horizontal="center"/>
    </xf>
    <xf numFmtId="0" fontId="12" fillId="2" borderId="7" xfId="0" applyFont="1" applyFill="1" applyBorder="1" applyAlignment="1" applyProtection="1">
      <alignment horizontal="center"/>
    </xf>
    <xf numFmtId="0" fontId="11" fillId="0" borderId="21" xfId="0" applyFont="1" applyBorder="1" applyProtection="1"/>
    <xf numFmtId="0" fontId="11" fillId="0" borderId="22" xfId="0" applyFont="1" applyBorder="1" applyProtection="1"/>
    <xf numFmtId="0" fontId="11" fillId="0" borderId="23" xfId="0" applyFont="1" applyBorder="1" applyProtection="1"/>
    <xf numFmtId="0" fontId="11" fillId="0" borderId="24" xfId="0" applyFont="1" applyBorder="1" applyProtection="1"/>
    <xf numFmtId="0" fontId="11" fillId="0" borderId="0" xfId="0" applyFont="1" applyProtection="1"/>
    <xf numFmtId="0" fontId="11" fillId="0" borderId="0" xfId="0" applyFont="1" applyBorder="1" applyAlignment="1" applyProtection="1"/>
    <xf numFmtId="0" fontId="11" fillId="0" borderId="0" xfId="0" applyFont="1" applyBorder="1" applyAlignment="1" applyProtection="1">
      <protection locked="0"/>
    </xf>
    <xf numFmtId="165" fontId="11" fillId="0" borderId="0" xfId="0" applyNumberFormat="1" applyFont="1" applyFill="1" applyBorder="1" applyProtection="1"/>
    <xf numFmtId="0" fontId="12" fillId="0" borderId="0" xfId="0" applyFont="1" applyProtection="1"/>
    <xf numFmtId="1" fontId="11" fillId="0" borderId="0" xfId="0" applyNumberFormat="1" applyFont="1" applyFill="1" applyBorder="1" applyProtection="1"/>
    <xf numFmtId="14" fontId="11" fillId="0" borderId="0" xfId="0" applyNumberFormat="1" applyFont="1" applyProtection="1"/>
    <xf numFmtId="49" fontId="11" fillId="0" borderId="0" xfId="0" applyNumberFormat="1" applyFont="1" applyFill="1" applyBorder="1" applyProtection="1"/>
    <xf numFmtId="49" fontId="12" fillId="0" borderId="0" xfId="0" applyNumberFormat="1" applyFont="1" applyProtection="1"/>
    <xf numFmtId="166" fontId="11" fillId="3" borderId="5" xfId="0" applyNumberFormat="1" applyFont="1" applyFill="1" applyBorder="1" applyProtection="1">
      <protection locked="0"/>
    </xf>
    <xf numFmtId="0" fontId="11" fillId="3" borderId="5" xfId="0" applyFont="1" applyFill="1" applyBorder="1" applyProtection="1">
      <protection locked="0"/>
    </xf>
    <xf numFmtId="43" fontId="11" fillId="3" borderId="5" xfId="0" applyNumberFormat="1" applyFont="1" applyFill="1" applyBorder="1" applyProtection="1">
      <protection locked="0"/>
    </xf>
    <xf numFmtId="166" fontId="11" fillId="3" borderId="1" xfId="0" applyNumberFormat="1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43" fontId="11" fillId="3" borderId="1" xfId="0" applyNumberFormat="1" applyFont="1" applyFill="1" applyBorder="1" applyProtection="1">
      <protection locked="0"/>
    </xf>
    <xf numFmtId="166" fontId="11" fillId="3" borderId="1" xfId="0" applyNumberFormat="1" applyFont="1" applyFill="1" applyBorder="1" applyAlignment="1" applyProtection="1">
      <alignment horizontal="right"/>
      <protection locked="0"/>
    </xf>
    <xf numFmtId="9" fontId="11" fillId="3" borderId="1" xfId="0" applyNumberFormat="1" applyFont="1" applyFill="1" applyBorder="1" applyProtection="1">
      <protection locked="0"/>
    </xf>
    <xf numFmtId="43" fontId="11" fillId="3" borderId="1" xfId="0" applyNumberFormat="1" applyFont="1" applyFill="1" applyBorder="1" applyAlignment="1" applyProtection="1">
      <alignment horizontal="right"/>
      <protection locked="0"/>
    </xf>
    <xf numFmtId="0" fontId="25" fillId="2" borderId="25" xfId="0" applyFont="1" applyFill="1" applyBorder="1" applyProtection="1"/>
    <xf numFmtId="43" fontId="25" fillId="2" borderId="26" xfId="0" applyNumberFormat="1" applyFont="1" applyFill="1" applyBorder="1" applyProtection="1"/>
    <xf numFmtId="49" fontId="12" fillId="2" borderId="1" xfId="0" applyNumberFormat="1" applyFont="1" applyFill="1" applyBorder="1" applyAlignment="1" applyProtection="1">
      <alignment horizontal="right"/>
    </xf>
    <xf numFmtId="0" fontId="25" fillId="2" borderId="1" xfId="0" applyFont="1" applyFill="1" applyBorder="1" applyProtection="1"/>
    <xf numFmtId="0" fontId="25" fillId="2" borderId="6" xfId="0" applyFont="1" applyFill="1" applyBorder="1" applyProtection="1"/>
    <xf numFmtId="0" fontId="25" fillId="2" borderId="7" xfId="0" applyFont="1" applyFill="1" applyBorder="1" applyProtection="1"/>
    <xf numFmtId="0" fontId="25" fillId="2" borderId="26" xfId="0" applyFont="1" applyFill="1" applyBorder="1" applyProtection="1"/>
    <xf numFmtId="0" fontId="25" fillId="2" borderId="26" xfId="0" applyFont="1" applyFill="1" applyBorder="1" applyAlignment="1" applyProtection="1">
      <alignment horizontal="left" vertical="top"/>
    </xf>
    <xf numFmtId="0" fontId="11" fillId="0" borderId="0" xfId="0" applyFont="1" applyFill="1" applyBorder="1" applyAlignment="1" applyProtection="1">
      <protection locked="0"/>
    </xf>
    <xf numFmtId="167" fontId="0" fillId="0" borderId="0" xfId="1" applyNumberFormat="1" applyFont="1" applyProtection="1"/>
    <xf numFmtId="167" fontId="7" fillId="0" borderId="0" xfId="1" applyNumberFormat="1" applyFont="1" applyProtection="1"/>
    <xf numFmtId="0" fontId="7" fillId="0" borderId="0" xfId="0" applyFont="1" applyProtection="1"/>
    <xf numFmtId="167" fontId="11" fillId="2" borderId="1" xfId="1" applyNumberFormat="1" applyFont="1" applyFill="1" applyBorder="1" applyProtection="1"/>
    <xf numFmtId="0" fontId="11" fillId="2" borderId="1" xfId="0" applyFont="1" applyFill="1" applyBorder="1" applyProtection="1"/>
    <xf numFmtId="167" fontId="12" fillId="2" borderId="1" xfId="1" applyNumberFormat="1" applyFont="1" applyFill="1" applyBorder="1" applyProtection="1"/>
    <xf numFmtId="0" fontId="12" fillId="2" borderId="1" xfId="0" applyFont="1" applyFill="1" applyBorder="1" applyProtection="1"/>
    <xf numFmtId="0" fontId="11" fillId="2" borderId="1" xfId="0" applyFont="1" applyFill="1" applyBorder="1" applyAlignment="1" applyProtection="1"/>
    <xf numFmtId="0" fontId="21" fillId="2" borderId="1" xfId="0" applyFont="1" applyFill="1" applyBorder="1" applyAlignment="1" applyProtection="1"/>
    <xf numFmtId="9" fontId="12" fillId="2" borderId="1" xfId="0" applyNumberFormat="1" applyFont="1" applyFill="1" applyBorder="1" applyProtection="1"/>
    <xf numFmtId="167" fontId="12" fillId="3" borderId="1" xfId="1" applyNumberFormat="1" applyFont="1" applyFill="1" applyBorder="1" applyProtection="1">
      <protection locked="0"/>
    </xf>
    <xf numFmtId="0" fontId="26" fillId="2" borderId="1" xfId="0" applyFont="1" applyFill="1" applyBorder="1" applyAlignment="1" applyProtection="1">
      <alignment horizontal="left"/>
    </xf>
    <xf numFmtId="0" fontId="26" fillId="2" borderId="1" xfId="0" applyFont="1" applyFill="1" applyBorder="1" applyProtection="1"/>
    <xf numFmtId="0" fontId="21" fillId="2" borderId="1" xfId="0" applyFont="1" applyFill="1" applyBorder="1" applyAlignment="1" applyProtection="1">
      <alignment horizontal="left"/>
    </xf>
    <xf numFmtId="0" fontId="26" fillId="2" borderId="1" xfId="0" applyFont="1" applyFill="1" applyBorder="1" applyAlignment="1" applyProtection="1"/>
    <xf numFmtId="0" fontId="27" fillId="2" borderId="1" xfId="0" applyFont="1" applyFill="1" applyBorder="1" applyAlignment="1" applyProtection="1">
      <alignment vertical="top"/>
    </xf>
    <xf numFmtId="167" fontId="11" fillId="0" borderId="0" xfId="1" applyNumberFormat="1" applyFont="1" applyProtection="1"/>
    <xf numFmtId="167" fontId="11" fillId="0" borderId="0" xfId="1" applyNumberFormat="1" applyFont="1" applyFill="1" applyBorder="1" applyAlignment="1" applyProtection="1">
      <protection locked="0"/>
    </xf>
    <xf numFmtId="167" fontId="11" fillId="0" borderId="0" xfId="1" applyNumberFormat="1" applyFont="1" applyProtection="1">
      <protection locked="0"/>
    </xf>
    <xf numFmtId="0" fontId="28" fillId="0" borderId="0" xfId="0" applyFont="1" applyProtection="1"/>
    <xf numFmtId="43" fontId="23" fillId="2" borderId="1" xfId="1" applyFont="1" applyFill="1" applyBorder="1" applyProtection="1"/>
    <xf numFmtId="0" fontId="16" fillId="2" borderId="1" xfId="0" applyFont="1" applyFill="1" applyBorder="1" applyProtection="1"/>
    <xf numFmtId="43" fontId="23" fillId="2" borderId="0" xfId="1" applyFont="1" applyFill="1" applyProtection="1"/>
    <xf numFmtId="0" fontId="17" fillId="2" borderId="1" xfId="0" applyFont="1" applyFill="1" applyBorder="1" applyProtection="1"/>
    <xf numFmtId="0" fontId="11" fillId="0" borderId="0" xfId="0" applyFont="1" applyFill="1" applyBorder="1" applyAlignment="1" applyProtection="1"/>
    <xf numFmtId="0" fontId="30" fillId="0" borderId="0" xfId="3" applyProtection="1"/>
    <xf numFmtId="0" fontId="11" fillId="0" borderId="0" xfId="3" applyFont="1" applyProtection="1"/>
    <xf numFmtId="0" fontId="28" fillId="0" borderId="0" xfId="3" applyFont="1" applyProtection="1"/>
    <xf numFmtId="43" fontId="11" fillId="2" borderId="1" xfId="1" applyFont="1" applyFill="1" applyBorder="1" applyProtection="1"/>
    <xf numFmtId="43" fontId="11" fillId="3" borderId="1" xfId="1" applyFont="1" applyFill="1" applyBorder="1" applyProtection="1">
      <protection locked="0"/>
    </xf>
    <xf numFmtId="0" fontId="11" fillId="2" borderId="1" xfId="3" applyFont="1" applyFill="1" applyBorder="1" applyProtection="1"/>
    <xf numFmtId="43" fontId="11" fillId="2" borderId="0" xfId="1" applyFont="1" applyFill="1" applyProtection="1"/>
    <xf numFmtId="0" fontId="12" fillId="2" borderId="1" xfId="3" applyFont="1" applyFill="1" applyBorder="1" applyProtection="1"/>
    <xf numFmtId="0" fontId="12" fillId="2" borderId="1" xfId="3" applyFont="1" applyFill="1" applyBorder="1" applyAlignment="1" applyProtection="1">
      <alignment wrapText="1" shrinkToFit="1"/>
    </xf>
    <xf numFmtId="0" fontId="12" fillId="2" borderId="1" xfId="3" applyFont="1" applyFill="1" applyBorder="1" applyAlignment="1" applyProtection="1">
      <alignment wrapText="1"/>
    </xf>
    <xf numFmtId="0" fontId="25" fillId="2" borderId="1" xfId="3" applyFont="1" applyFill="1" applyBorder="1" applyProtection="1"/>
    <xf numFmtId="0" fontId="1" fillId="0" borderId="0" xfId="3" applyFont="1" applyProtection="1"/>
    <xf numFmtId="0" fontId="11" fillId="0" borderId="0" xfId="3" applyFont="1" applyFill="1" applyBorder="1" applyAlignment="1" applyProtection="1"/>
    <xf numFmtId="0" fontId="11" fillId="0" borderId="0" xfId="3" applyFont="1" applyBorder="1" applyAlignment="1" applyProtection="1"/>
    <xf numFmtId="165" fontId="11" fillId="0" borderId="0" xfId="3" applyNumberFormat="1" applyFont="1" applyFill="1" applyBorder="1" applyProtection="1"/>
    <xf numFmtId="1" fontId="11" fillId="0" borderId="0" xfId="3" applyNumberFormat="1" applyFont="1" applyFill="1" applyBorder="1" applyProtection="1"/>
    <xf numFmtId="14" fontId="11" fillId="0" borderId="0" xfId="3" applyNumberFormat="1" applyFont="1" applyProtection="1"/>
    <xf numFmtId="49" fontId="11" fillId="0" borderId="0" xfId="3" applyNumberFormat="1" applyFont="1" applyFill="1" applyBorder="1" applyProtection="1"/>
    <xf numFmtId="0" fontId="31" fillId="0" borderId="0" xfId="0" applyFont="1" applyProtection="1"/>
    <xf numFmtId="43" fontId="11" fillId="2" borderId="27" xfId="1" applyFont="1" applyFill="1" applyBorder="1" applyProtection="1"/>
    <xf numFmtId="43" fontId="11" fillId="2" borderId="5" xfId="1" applyFont="1" applyFill="1" applyBorder="1" applyProtection="1"/>
    <xf numFmtId="43" fontId="12" fillId="3" borderId="28" xfId="1" applyFont="1" applyFill="1" applyBorder="1" applyAlignment="1" applyProtection="1">
      <alignment horizontal="left" indent="1"/>
      <protection locked="0"/>
    </xf>
    <xf numFmtId="43" fontId="12" fillId="3" borderId="5" xfId="1" applyFont="1" applyFill="1" applyBorder="1" applyAlignment="1" applyProtection="1">
      <alignment horizontal="left" indent="1"/>
      <protection locked="0"/>
    </xf>
    <xf numFmtId="0" fontId="12" fillId="2" borderId="1" xfId="0" applyFont="1" applyFill="1" applyBorder="1" applyAlignment="1" applyProtection="1">
      <alignment horizontal="left"/>
    </xf>
    <xf numFmtId="43" fontId="12" fillId="3" borderId="3" xfId="1" applyFont="1" applyFill="1" applyBorder="1" applyAlignment="1" applyProtection="1">
      <alignment horizontal="left" indent="1"/>
      <protection locked="0"/>
    </xf>
    <xf numFmtId="43" fontId="12" fillId="3" borderId="1" xfId="1" applyFont="1" applyFill="1" applyBorder="1" applyAlignment="1" applyProtection="1">
      <alignment horizontal="left" indent="1"/>
      <protection locked="0"/>
    </xf>
    <xf numFmtId="43" fontId="12" fillId="3" borderId="1" xfId="1" applyFont="1" applyFill="1" applyBorder="1" applyAlignment="1" applyProtection="1">
      <alignment horizontal="right" indent="1"/>
      <protection locked="0"/>
    </xf>
    <xf numFmtId="43" fontId="11" fillId="2" borderId="9" xfId="1" applyFont="1" applyFill="1" applyBorder="1" applyProtection="1"/>
    <xf numFmtId="43" fontId="12" fillId="3" borderId="29" xfId="1" applyFont="1" applyFill="1" applyBorder="1" applyAlignment="1" applyProtection="1">
      <alignment horizontal="left" indent="1"/>
      <protection locked="0"/>
    </xf>
    <xf numFmtId="43" fontId="12" fillId="3" borderId="9" xfId="1" applyFont="1" applyFill="1" applyBorder="1" applyAlignment="1" applyProtection="1">
      <alignment horizontal="right" indent="1"/>
      <protection locked="0"/>
    </xf>
    <xf numFmtId="43" fontId="12" fillId="2" borderId="17" xfId="1" applyFont="1" applyFill="1" applyBorder="1" applyAlignment="1" applyProtection="1">
      <alignment horizontal="left"/>
    </xf>
    <xf numFmtId="43" fontId="12" fillId="2" borderId="30" xfId="1" applyFont="1" applyFill="1" applyBorder="1" applyAlignment="1" applyProtection="1">
      <alignment horizontal="left"/>
    </xf>
    <xf numFmtId="0" fontId="12" fillId="2" borderId="30" xfId="0" applyFont="1" applyFill="1" applyBorder="1" applyAlignment="1" applyProtection="1">
      <alignment horizontal="left"/>
    </xf>
    <xf numFmtId="0" fontId="12" fillId="2" borderId="30" xfId="0" applyFont="1" applyFill="1" applyBorder="1" applyProtection="1"/>
    <xf numFmtId="0" fontId="12" fillId="2" borderId="16" xfId="0" applyFont="1" applyFill="1" applyBorder="1" applyProtection="1"/>
    <xf numFmtId="0" fontId="12" fillId="2" borderId="11" xfId="0" applyFont="1" applyFill="1" applyBorder="1" applyAlignment="1" applyProtection="1">
      <alignment horizontal="center"/>
    </xf>
    <xf numFmtId="0" fontId="12" fillId="2" borderId="17" xfId="0" applyFont="1" applyFill="1" applyBorder="1" applyAlignment="1" applyProtection="1">
      <alignment horizontal="left"/>
    </xf>
    <xf numFmtId="14" fontId="11" fillId="0" borderId="0" xfId="0" applyNumberFormat="1" applyFont="1" applyProtection="1">
      <protection locked="0"/>
    </xf>
    <xf numFmtId="43" fontId="21" fillId="2" borderId="1" xfId="1" applyFont="1" applyFill="1" applyBorder="1" applyAlignment="1" applyProtection="1">
      <alignment horizontal="center"/>
    </xf>
    <xf numFmtId="165" fontId="11" fillId="0" borderId="0" xfId="0" applyNumberFormat="1" applyFont="1" applyFill="1" applyBorder="1" applyProtection="1">
      <protection locked="0"/>
    </xf>
    <xf numFmtId="1" fontId="11" fillId="0" borderId="0" xfId="0" applyNumberFormat="1" applyFont="1" applyFill="1" applyBorder="1" applyProtection="1">
      <protection locked="0"/>
    </xf>
    <xf numFmtId="49" fontId="11" fillId="0" borderId="0" xfId="0" applyNumberFormat="1" applyFont="1" applyFill="1" applyBorder="1" applyProtection="1">
      <protection locked="0"/>
    </xf>
    <xf numFmtId="0" fontId="30" fillId="0" borderId="0" xfId="3" applyAlignment="1">
      <alignment vertical="center"/>
    </xf>
    <xf numFmtId="0" fontId="30" fillId="0" borderId="0" xfId="3" applyAlignment="1">
      <alignment horizontal="left" vertical="center"/>
    </xf>
    <xf numFmtId="43" fontId="0" fillId="6" borderId="1" xfId="1" applyFont="1" applyFill="1" applyBorder="1" applyAlignment="1">
      <alignment vertical="center"/>
    </xf>
    <xf numFmtId="0" fontId="30" fillId="6" borderId="1" xfId="3" applyFill="1" applyBorder="1" applyAlignment="1">
      <alignment vertical="center"/>
    </xf>
    <xf numFmtId="0" fontId="34" fillId="7" borderId="1" xfId="4" applyFont="1" applyFill="1" applyBorder="1" applyAlignment="1">
      <alignment horizontal="left" vertical="center"/>
    </xf>
    <xf numFmtId="0" fontId="34" fillId="7" borderId="1" xfId="4" applyFont="1" applyFill="1" applyBorder="1" applyAlignment="1">
      <alignment horizontal="center" vertical="center" textRotation="90"/>
    </xf>
    <xf numFmtId="0" fontId="34" fillId="8" borderId="1" xfId="4" applyFont="1" applyFill="1" applyBorder="1" applyAlignment="1">
      <alignment horizontal="left" vertical="center"/>
    </xf>
    <xf numFmtId="43" fontId="0" fillId="9" borderId="1" xfId="1" applyFont="1" applyFill="1" applyBorder="1" applyAlignment="1">
      <alignment vertical="center"/>
    </xf>
    <xf numFmtId="0" fontId="30" fillId="9" borderId="1" xfId="3" applyFill="1" applyBorder="1" applyAlignment="1">
      <alignment vertical="center"/>
    </xf>
    <xf numFmtId="0" fontId="34" fillId="10" borderId="1" xfId="4" applyFont="1" applyFill="1" applyBorder="1" applyAlignment="1">
      <alignment horizontal="left" vertical="center"/>
    </xf>
    <xf numFmtId="0" fontId="34" fillId="11" borderId="1" xfId="4" applyFont="1" applyFill="1" applyBorder="1" applyAlignment="1">
      <alignment horizontal="left" vertical="center"/>
    </xf>
    <xf numFmtId="0" fontId="34" fillId="12" borderId="1" xfId="4" applyFont="1" applyFill="1" applyBorder="1" applyAlignment="1">
      <alignment horizontal="left" vertical="center"/>
    </xf>
    <xf numFmtId="0" fontId="34" fillId="13" borderId="1" xfId="4" applyFont="1" applyFill="1" applyBorder="1" applyAlignment="1">
      <alignment horizontal="left" vertical="center"/>
    </xf>
    <xf numFmtId="0" fontId="34" fillId="14" borderId="1" xfId="4" applyFont="1" applyFill="1" applyBorder="1" applyAlignment="1">
      <alignment horizontal="left" vertical="center"/>
    </xf>
    <xf numFmtId="0" fontId="34" fillId="15" borderId="1" xfId="4" applyFont="1" applyFill="1" applyBorder="1" applyAlignment="1">
      <alignment horizontal="left" vertical="center"/>
    </xf>
    <xf numFmtId="0" fontId="34" fillId="16" borderId="1" xfId="4" applyFont="1" applyFill="1" applyBorder="1" applyAlignment="1">
      <alignment horizontal="left" vertical="center"/>
    </xf>
    <xf numFmtId="0" fontId="34" fillId="17" borderId="1" xfId="4" applyFont="1" applyFill="1" applyBorder="1" applyAlignment="1">
      <alignment horizontal="left" vertical="center"/>
    </xf>
    <xf numFmtId="0" fontId="34" fillId="18" borderId="1" xfId="4" applyFont="1" applyFill="1" applyBorder="1" applyAlignment="1">
      <alignment horizontal="left" vertical="center"/>
    </xf>
    <xf numFmtId="0" fontId="34" fillId="18" borderId="1" xfId="4" applyFont="1" applyFill="1" applyBorder="1" applyAlignment="1">
      <alignment horizontal="center" vertical="center" textRotation="90"/>
    </xf>
    <xf numFmtId="0" fontId="18" fillId="0" borderId="0" xfId="3" applyFont="1" applyAlignment="1">
      <alignment vertical="center"/>
    </xf>
    <xf numFmtId="0" fontId="37" fillId="19" borderId="1" xfId="4" applyFont="1" applyFill="1" applyBorder="1" applyAlignment="1">
      <alignment horizontal="center" vertical="center"/>
    </xf>
    <xf numFmtId="0" fontId="37" fillId="20" borderId="31" xfId="3" applyFont="1" applyFill="1" applyBorder="1" applyAlignment="1">
      <alignment horizontal="center" vertical="center" wrapText="1"/>
    </xf>
    <xf numFmtId="0" fontId="37" fillId="20" borderId="11" xfId="3" applyFont="1" applyFill="1" applyBorder="1" applyAlignment="1">
      <alignment horizontal="center" vertical="center" wrapText="1"/>
    </xf>
    <xf numFmtId="0" fontId="37" fillId="21" borderId="1" xfId="4" applyFont="1" applyFill="1" applyBorder="1" applyAlignment="1">
      <alignment horizontal="center" vertical="center" wrapText="1"/>
    </xf>
    <xf numFmtId="0" fontId="35" fillId="18" borderId="1" xfId="4" applyFont="1" applyFill="1" applyBorder="1" applyAlignment="1">
      <alignment horizontal="left" vertical="center"/>
    </xf>
    <xf numFmtId="0" fontId="35" fillId="22" borderId="1" xfId="4" applyFont="1" applyFill="1" applyBorder="1" applyAlignment="1">
      <alignment horizontal="center" vertical="center"/>
    </xf>
    <xf numFmtId="0" fontId="23" fillId="0" borderId="0" xfId="3" applyFont="1" applyAlignment="1">
      <alignment horizontal="left" vertical="center"/>
    </xf>
    <xf numFmtId="49" fontId="16" fillId="0" borderId="0" xfId="3" applyNumberFormat="1" applyFont="1" applyProtection="1"/>
    <xf numFmtId="164" fontId="23" fillId="25" borderId="0" xfId="3" applyNumberFormat="1" applyFont="1" applyFill="1" applyBorder="1" applyAlignment="1" applyProtection="1">
      <alignment horizontal="left" vertical="center"/>
    </xf>
    <xf numFmtId="0" fontId="16" fillId="0" borderId="0" xfId="3" applyFont="1" applyProtection="1"/>
    <xf numFmtId="0" fontId="23" fillId="0" borderId="0" xfId="3" applyFont="1" applyAlignment="1">
      <alignment vertical="center"/>
    </xf>
    <xf numFmtId="0" fontId="23" fillId="0" borderId="0" xfId="3" applyFont="1" applyAlignment="1" applyProtection="1">
      <alignment horizontal="left" vertical="center"/>
      <protection locked="0"/>
    </xf>
    <xf numFmtId="0" fontId="38" fillId="0" borderId="0" xfId="3" applyFont="1" applyProtection="1"/>
    <xf numFmtId="0" fontId="39" fillId="0" borderId="0" xfId="3" applyFont="1" applyProtection="1"/>
    <xf numFmtId="43" fontId="23" fillId="3" borderId="1" xfId="1" applyFont="1" applyFill="1" applyBorder="1" applyAlignment="1" applyProtection="1">
      <protection locked="0"/>
    </xf>
    <xf numFmtId="43" fontId="23" fillId="2" borderId="1" xfId="1" applyFont="1" applyFill="1" applyBorder="1" applyAlignment="1" applyProtection="1">
      <alignment horizontal="left"/>
    </xf>
    <xf numFmtId="43" fontId="16" fillId="2" borderId="1" xfId="1" applyFont="1" applyFill="1" applyBorder="1" applyAlignment="1" applyProtection="1">
      <alignment horizontal="left"/>
    </xf>
    <xf numFmtId="43" fontId="23" fillId="6" borderId="1" xfId="1" applyFont="1" applyFill="1" applyBorder="1" applyProtection="1">
      <protection locked="0"/>
    </xf>
    <xf numFmtId="0" fontId="23" fillId="2" borderId="1" xfId="3" applyFont="1" applyFill="1" applyBorder="1" applyAlignment="1" applyProtection="1"/>
    <xf numFmtId="0" fontId="23" fillId="6" borderId="1" xfId="1" applyNumberFormat="1" applyFont="1" applyFill="1" applyBorder="1" applyProtection="1">
      <protection locked="0"/>
    </xf>
    <xf numFmtId="0" fontId="16" fillId="2" borderId="1" xfId="3" applyFont="1" applyFill="1" applyBorder="1" applyAlignment="1" applyProtection="1"/>
    <xf numFmtId="0" fontId="16" fillId="2" borderId="1" xfId="3" applyFont="1" applyFill="1" applyBorder="1" applyAlignment="1" applyProtection="1">
      <protection locked="0"/>
    </xf>
    <xf numFmtId="0" fontId="23" fillId="0" borderId="0" xfId="3" applyFont="1" applyProtection="1"/>
    <xf numFmtId="0" fontId="11" fillId="0" borderId="0" xfId="3" applyFont="1" applyFill="1" applyBorder="1" applyAlignment="1" applyProtection="1">
      <protection locked="0"/>
    </xf>
    <xf numFmtId="0" fontId="11" fillId="0" borderId="0" xfId="3" applyFont="1" applyBorder="1" applyAlignment="1" applyProtection="1">
      <protection locked="0"/>
    </xf>
    <xf numFmtId="0" fontId="11" fillId="0" borderId="0" xfId="3" applyFont="1" applyProtection="1">
      <protection locked="0"/>
    </xf>
    <xf numFmtId="0" fontId="23" fillId="3" borderId="32" xfId="3" applyFont="1" applyFill="1" applyBorder="1" applyAlignment="1" applyProtection="1">
      <alignment horizontal="left"/>
      <protection locked="0"/>
    </xf>
    <xf numFmtId="0" fontId="23" fillId="6" borderId="33" xfId="3" applyFont="1" applyFill="1" applyBorder="1" applyAlignment="1" applyProtection="1">
      <alignment horizontal="left"/>
    </xf>
    <xf numFmtId="0" fontId="23" fillId="3" borderId="33" xfId="3" applyFont="1" applyFill="1" applyBorder="1" applyAlignment="1" applyProtection="1">
      <alignment horizontal="left"/>
      <protection locked="0"/>
    </xf>
    <xf numFmtId="0" fontId="16" fillId="3" borderId="33" xfId="3" applyFont="1" applyFill="1" applyBorder="1" applyAlignment="1" applyProtection="1">
      <alignment horizontal="right"/>
      <protection locked="0"/>
    </xf>
    <xf numFmtId="15" fontId="16" fillId="3" borderId="33" xfId="3" applyNumberFormat="1" applyFont="1" applyFill="1" applyBorder="1" applyAlignment="1" applyProtection="1">
      <alignment horizontal="right"/>
      <protection locked="0"/>
    </xf>
    <xf numFmtId="0" fontId="16" fillId="3" borderId="34" xfId="3" applyFont="1" applyFill="1" applyBorder="1" applyAlignment="1" applyProtection="1">
      <alignment horizontal="right"/>
      <protection locked="0"/>
    </xf>
    <xf numFmtId="0" fontId="1" fillId="0" borderId="0" xfId="3" applyFont="1" applyFill="1" applyBorder="1" applyAlignment="1" applyProtection="1"/>
    <xf numFmtId="14" fontId="1" fillId="0" borderId="0" xfId="3" applyNumberFormat="1" applyFont="1" applyProtection="1"/>
    <xf numFmtId="49" fontId="43" fillId="0" borderId="0" xfId="0" applyNumberFormat="1" applyFont="1" applyProtection="1"/>
    <xf numFmtId="0" fontId="44" fillId="0" borderId="0" xfId="0" applyFont="1"/>
    <xf numFmtId="49" fontId="43" fillId="0" borderId="0" xfId="0" applyNumberFormat="1" applyFont="1" applyProtection="1">
      <protection locked="0"/>
    </xf>
    <xf numFmtId="49" fontId="45" fillId="0" borderId="0" xfId="3" applyNumberFormat="1" applyFont="1" applyProtection="1"/>
    <xf numFmtId="49" fontId="43" fillId="0" borderId="0" xfId="3" applyNumberFormat="1" applyFont="1" applyProtection="1"/>
    <xf numFmtId="49" fontId="43" fillId="0" borderId="0" xfId="3" applyNumberFormat="1" applyFont="1" applyProtection="1">
      <protection locked="0"/>
    </xf>
    <xf numFmtId="164" fontId="11" fillId="3" borderId="1" xfId="0" quotePrefix="1" applyNumberFormat="1" applyFont="1" applyFill="1" applyBorder="1" applyAlignment="1" applyProtection="1">
      <alignment horizontal="right"/>
      <protection locked="0"/>
    </xf>
    <xf numFmtId="0" fontId="11" fillId="3" borderId="1" xfId="0" applyNumberFormat="1" applyFont="1" applyFill="1" applyBorder="1" applyAlignment="1" applyProtection="1">
      <alignment horizontal="right"/>
      <protection locked="0"/>
    </xf>
    <xf numFmtId="166" fontId="11" fillId="3" borderId="1" xfId="0" quotePrefix="1" applyNumberFormat="1" applyFont="1" applyFill="1" applyBorder="1" applyAlignment="1" applyProtection="1">
      <alignment horizontal="right"/>
      <protection locked="0"/>
    </xf>
    <xf numFmtId="0" fontId="12" fillId="2" borderId="1" xfId="0" applyFont="1" applyFill="1" applyBorder="1" applyAlignment="1" applyProtection="1">
      <alignment horizontal="right"/>
    </xf>
    <xf numFmtId="0" fontId="11" fillId="3" borderId="1" xfId="1" applyNumberFormat="1" applyFont="1" applyFill="1" applyBorder="1" applyProtection="1">
      <protection locked="0"/>
    </xf>
    <xf numFmtId="166" fontId="11" fillId="3" borderId="1" xfId="1" applyNumberFormat="1" applyFont="1" applyFill="1" applyBorder="1" applyProtection="1">
      <protection locked="0"/>
    </xf>
    <xf numFmtId="0" fontId="46" fillId="26" borderId="12" xfId="0" applyFont="1" applyFill="1" applyBorder="1" applyProtection="1"/>
    <xf numFmtId="0" fontId="47" fillId="26" borderId="9" xfId="0" applyFont="1" applyFill="1" applyBorder="1" applyProtection="1"/>
    <xf numFmtId="0" fontId="47" fillId="26" borderId="1" xfId="0" applyFont="1" applyFill="1" applyBorder="1" applyProtection="1"/>
    <xf numFmtId="0" fontId="46" fillId="26" borderId="1" xfId="0" applyFont="1" applyFill="1" applyBorder="1" applyProtection="1"/>
    <xf numFmtId="0" fontId="46" fillId="26" borderId="6" xfId="0" applyFont="1" applyFill="1" applyBorder="1" applyProtection="1"/>
    <xf numFmtId="0" fontId="47" fillId="26" borderId="6" xfId="0" applyFont="1" applyFill="1" applyBorder="1" applyProtection="1"/>
    <xf numFmtId="0" fontId="47" fillId="26" borderId="5" xfId="0" applyFont="1" applyFill="1" applyBorder="1" applyProtection="1"/>
    <xf numFmtId="10" fontId="16" fillId="2" borderId="1" xfId="2" applyNumberFormat="1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1" fillId="2" borderId="3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2" fillId="4" borderId="17" xfId="0" applyFont="1" applyFill="1" applyBorder="1" applyAlignment="1" applyProtection="1">
      <alignment horizontal="center"/>
    </xf>
    <xf numFmtId="0" fontId="12" fillId="4" borderId="16" xfId="0" applyFont="1" applyFill="1" applyBorder="1" applyAlignment="1" applyProtection="1">
      <alignment horizontal="center"/>
    </xf>
    <xf numFmtId="0" fontId="21" fillId="4" borderId="15" xfId="0" applyFont="1" applyFill="1" applyBorder="1" applyAlignment="1" applyProtection="1">
      <alignment horizontal="center"/>
    </xf>
    <xf numFmtId="0" fontId="21" fillId="4" borderId="14" xfId="0" applyFont="1" applyFill="1" applyBorder="1" applyAlignment="1" applyProtection="1">
      <alignment horizontal="center"/>
    </xf>
    <xf numFmtId="0" fontId="25" fillId="2" borderId="20" xfId="0" applyFont="1" applyFill="1" applyBorder="1" applyAlignment="1" applyProtection="1">
      <alignment horizontal="center"/>
    </xf>
    <xf numFmtId="0" fontId="25" fillId="2" borderId="19" xfId="0" applyFont="1" applyFill="1" applyBorder="1" applyAlignment="1" applyProtection="1">
      <alignment horizontal="center"/>
    </xf>
    <xf numFmtId="0" fontId="12" fillId="2" borderId="1" xfId="0" applyFont="1" applyFill="1" applyBorder="1" applyAlignment="1" applyProtection="1">
      <alignment horizontal="center"/>
    </xf>
    <xf numFmtId="0" fontId="12" fillId="2" borderId="3" xfId="0" applyFont="1" applyFill="1" applyBorder="1" applyAlignment="1" applyProtection="1">
      <alignment horizontal="center" vertical="top"/>
    </xf>
    <xf numFmtId="0" fontId="12" fillId="2" borderId="2" xfId="0" applyFont="1" applyFill="1" applyBorder="1" applyAlignment="1" applyProtection="1">
      <alignment horizontal="center" vertical="top"/>
    </xf>
    <xf numFmtId="0" fontId="12" fillId="2" borderId="6" xfId="0" applyFont="1" applyFill="1" applyBorder="1" applyAlignment="1" applyProtection="1">
      <alignment horizontal="center" vertical="top"/>
    </xf>
    <xf numFmtId="0" fontId="12" fillId="2" borderId="25" xfId="0" applyFont="1" applyFill="1" applyBorder="1" applyAlignment="1" applyProtection="1">
      <alignment horizontal="center" wrapText="1"/>
    </xf>
    <xf numFmtId="0" fontId="12" fillId="2" borderId="9" xfId="0" applyFont="1" applyFill="1" applyBorder="1" applyAlignment="1" applyProtection="1">
      <alignment horizontal="center" wrapText="1"/>
    </xf>
    <xf numFmtId="167" fontId="12" fillId="2" borderId="1" xfId="1" applyNumberFormat="1" applyFont="1" applyFill="1" applyBorder="1" applyAlignment="1" applyProtection="1">
      <alignment horizontal="center"/>
    </xf>
    <xf numFmtId="167" fontId="12" fillId="2" borderId="25" xfId="1" applyNumberFormat="1" applyFont="1" applyFill="1" applyBorder="1" applyAlignment="1" applyProtection="1">
      <alignment wrapText="1"/>
    </xf>
    <xf numFmtId="167" fontId="12" fillId="2" borderId="9" xfId="1" applyNumberFormat="1" applyFont="1" applyFill="1" applyBorder="1" applyAlignment="1" applyProtection="1">
      <alignment wrapText="1"/>
    </xf>
    <xf numFmtId="0" fontId="12" fillId="5" borderId="1" xfId="0" applyFont="1" applyFill="1" applyBorder="1" applyAlignment="1" applyProtection="1">
      <alignment horizontal="center"/>
    </xf>
    <xf numFmtId="0" fontId="12" fillId="5" borderId="1" xfId="3" applyFont="1" applyFill="1" applyBorder="1" applyAlignment="1" applyProtection="1">
      <alignment horizontal="center"/>
    </xf>
    <xf numFmtId="0" fontId="12" fillId="2" borderId="15" xfId="0" applyFont="1" applyFill="1" applyBorder="1" applyAlignment="1" applyProtection="1">
      <alignment horizontal="center"/>
    </xf>
    <xf numFmtId="0" fontId="12" fillId="2" borderId="31" xfId="0" applyFont="1" applyFill="1" applyBorder="1" applyAlignment="1" applyProtection="1">
      <alignment horizontal="center"/>
    </xf>
    <xf numFmtId="0" fontId="12" fillId="2" borderId="14" xfId="0" applyFont="1" applyFill="1" applyBorder="1" applyAlignment="1" applyProtection="1">
      <alignment horizontal="center"/>
    </xf>
    <xf numFmtId="0" fontId="31" fillId="0" borderId="0" xfId="0" applyFont="1" applyAlignment="1" applyProtection="1"/>
    <xf numFmtId="49" fontId="43" fillId="0" borderId="0" xfId="0" applyNumberFormat="1" applyFont="1" applyProtection="1"/>
    <xf numFmtId="0" fontId="11" fillId="2" borderId="1" xfId="0" applyFont="1" applyFill="1" applyBorder="1" applyProtection="1"/>
    <xf numFmtId="0" fontId="32" fillId="0" borderId="0" xfId="0" applyFont="1" applyBorder="1" applyProtection="1"/>
    <xf numFmtId="0" fontId="35" fillId="13" borderId="1" xfId="4" applyFont="1" applyFill="1" applyBorder="1" applyAlignment="1">
      <alignment horizontal="center" vertical="center" textRotation="90" wrapText="1"/>
    </xf>
    <xf numFmtId="0" fontId="34" fillId="12" borderId="1" xfId="4" applyFont="1" applyFill="1" applyBorder="1" applyAlignment="1">
      <alignment horizontal="center" vertical="center" textRotation="90"/>
    </xf>
    <xf numFmtId="0" fontId="35" fillId="11" borderId="1" xfId="4" applyFont="1" applyFill="1" applyBorder="1" applyAlignment="1">
      <alignment horizontal="center" vertical="center" textRotation="90" wrapText="1"/>
    </xf>
    <xf numFmtId="0" fontId="35" fillId="10" borderId="1" xfId="4" applyFont="1" applyFill="1" applyBorder="1" applyAlignment="1">
      <alignment horizontal="center" vertical="center" textRotation="90" wrapText="1"/>
    </xf>
    <xf numFmtId="0" fontId="35" fillId="8" borderId="1" xfId="4" applyFont="1" applyFill="1" applyBorder="1" applyAlignment="1">
      <alignment horizontal="center" vertical="center" textRotation="90" wrapText="1"/>
    </xf>
    <xf numFmtId="0" fontId="35" fillId="14" borderId="1" xfId="4" applyFont="1" applyFill="1" applyBorder="1" applyAlignment="1">
      <alignment horizontal="center" vertical="center" textRotation="90" wrapText="1"/>
    </xf>
    <xf numFmtId="0" fontId="18" fillId="24" borderId="39" xfId="3" applyFont="1" applyFill="1" applyBorder="1" applyAlignment="1">
      <alignment horizontal="center" vertical="center"/>
    </xf>
    <xf numFmtId="0" fontId="18" fillId="24" borderId="38" xfId="3" applyFont="1" applyFill="1" applyBorder="1" applyAlignment="1">
      <alignment horizontal="center" vertical="center"/>
    </xf>
    <xf numFmtId="0" fontId="18" fillId="24" borderId="26" xfId="3" applyFont="1" applyFill="1" applyBorder="1" applyAlignment="1">
      <alignment horizontal="center" vertical="center"/>
    </xf>
    <xf numFmtId="0" fontId="18" fillId="24" borderId="29" xfId="3" applyFont="1" applyFill="1" applyBorder="1" applyAlignment="1">
      <alignment horizontal="center" vertical="center"/>
    </xf>
    <xf numFmtId="0" fontId="18" fillId="24" borderId="37" xfId="3" applyFont="1" applyFill="1" applyBorder="1" applyAlignment="1">
      <alignment horizontal="center" vertical="center"/>
    </xf>
    <xf numFmtId="0" fontId="18" fillId="24" borderId="36" xfId="3" applyFont="1" applyFill="1" applyBorder="1" applyAlignment="1">
      <alignment horizontal="center" vertical="center"/>
    </xf>
    <xf numFmtId="0" fontId="18" fillId="23" borderId="1" xfId="3" applyFont="1" applyFill="1" applyBorder="1" applyAlignment="1">
      <alignment horizontal="center" vertical="center"/>
    </xf>
    <xf numFmtId="0" fontId="35" fillId="17" borderId="1" xfId="4" applyFont="1" applyFill="1" applyBorder="1" applyAlignment="1">
      <alignment horizontal="center" vertical="center" textRotation="90"/>
    </xf>
    <xf numFmtId="0" fontId="35" fillId="16" borderId="1" xfId="4" applyFont="1" applyFill="1" applyBorder="1" applyAlignment="1">
      <alignment horizontal="center" vertical="center" textRotation="90" wrapText="1"/>
    </xf>
    <xf numFmtId="0" fontId="35" fillId="15" borderId="1" xfId="4" applyFont="1" applyFill="1" applyBorder="1" applyAlignment="1">
      <alignment horizontal="center" vertical="center" textRotation="90" wrapText="1"/>
    </xf>
    <xf numFmtId="43" fontId="16" fillId="2" borderId="1" xfId="1" applyFont="1" applyFill="1" applyBorder="1" applyAlignment="1" applyProtection="1">
      <alignment horizontal="left"/>
    </xf>
    <xf numFmtId="0" fontId="16" fillId="5" borderId="15" xfId="3" applyFont="1" applyFill="1" applyBorder="1" applyAlignment="1" applyProtection="1">
      <alignment horizontal="center"/>
    </xf>
    <xf numFmtId="0" fontId="16" fillId="5" borderId="31" xfId="3" applyFont="1" applyFill="1" applyBorder="1" applyAlignment="1" applyProtection="1">
      <alignment horizontal="center"/>
    </xf>
    <xf numFmtId="0" fontId="16" fillId="5" borderId="17" xfId="3" applyFont="1" applyFill="1" applyBorder="1" applyAlignment="1" applyProtection="1">
      <alignment horizontal="center"/>
    </xf>
    <xf numFmtId="0" fontId="16" fillId="5" borderId="35" xfId="3" applyFont="1" applyFill="1" applyBorder="1" applyAlignment="1" applyProtection="1">
      <alignment horizontal="center"/>
    </xf>
    <xf numFmtId="0" fontId="12" fillId="2" borderId="15" xfId="3" applyFont="1" applyFill="1" applyBorder="1" applyAlignment="1" applyProtection="1">
      <alignment horizontal="left"/>
    </xf>
    <xf numFmtId="0" fontId="12" fillId="2" borderId="31" xfId="3" applyFont="1" applyFill="1" applyBorder="1" applyAlignment="1" applyProtection="1">
      <alignment horizontal="left"/>
    </xf>
  </cellXfs>
  <cellStyles count="5">
    <cellStyle name="Comma" xfId="1" builtinId="3"/>
    <cellStyle name="Normal" xfId="0" builtinId="0"/>
    <cellStyle name="Normal 2" xfId="3"/>
    <cellStyle name="Normal 4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9</xdr:row>
      <xdr:rowOff>0</xdr:rowOff>
    </xdr:from>
    <xdr:ext cx="104775" cy="2095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45732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542925</xdr:colOff>
      <xdr:row>23</xdr:row>
      <xdr:rowOff>0</xdr:rowOff>
    </xdr:from>
    <xdr:ext cx="104775" cy="209550"/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1152525" y="372427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542925</xdr:colOff>
      <xdr:row>24</xdr:row>
      <xdr:rowOff>0</xdr:rowOff>
    </xdr:from>
    <xdr:ext cx="104775" cy="231775"/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1152525" y="3886200"/>
          <a:ext cx="104775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62"/>
  <sheetViews>
    <sheetView tabSelected="1" zoomScaleNormal="100" workbookViewId="0">
      <selection activeCell="B5" sqref="B5"/>
    </sheetView>
  </sheetViews>
  <sheetFormatPr defaultRowHeight="12.75" x14ac:dyDescent="0.2"/>
  <cols>
    <col min="1" max="1" width="105.28515625" style="1" customWidth="1"/>
    <col min="2" max="2" width="19.42578125" style="1" customWidth="1"/>
    <col min="3" max="3" width="28.140625" style="1" customWidth="1"/>
    <col min="4" max="16384" width="9.140625" style="1"/>
  </cols>
  <sheetData>
    <row r="1" spans="1:3" s="30" customFormat="1" ht="21" x14ac:dyDescent="0.35">
      <c r="A1" s="242" t="s">
        <v>357</v>
      </c>
      <c r="B1" s="35"/>
      <c r="C1" s="35"/>
    </row>
    <row r="2" spans="1:3" s="30" customFormat="1" ht="20.25" x14ac:dyDescent="0.3">
      <c r="A2" s="38"/>
      <c r="B2" s="35"/>
      <c r="C2" s="35"/>
    </row>
    <row r="3" spans="1:3" s="30" customFormat="1" ht="20.25" x14ac:dyDescent="0.3">
      <c r="A3" s="36" t="s">
        <v>56</v>
      </c>
      <c r="B3" s="247" t="s">
        <v>367</v>
      </c>
      <c r="C3" s="37"/>
    </row>
    <row r="4" spans="1:3" s="30" customFormat="1" ht="20.25" x14ac:dyDescent="0.3">
      <c r="A4" s="36" t="s">
        <v>55</v>
      </c>
      <c r="B4" s="248"/>
      <c r="C4" s="35"/>
    </row>
    <row r="5" spans="1:3" s="30" customFormat="1" ht="20.25" x14ac:dyDescent="0.3">
      <c r="A5" s="36" t="s">
        <v>54</v>
      </c>
      <c r="B5" s="249"/>
      <c r="C5" s="35"/>
    </row>
    <row r="6" spans="1:3" s="30" customFormat="1" ht="20.25" x14ac:dyDescent="0.3">
      <c r="A6" s="36" t="s">
        <v>53</v>
      </c>
      <c r="B6" s="249"/>
      <c r="C6" s="35"/>
    </row>
    <row r="7" spans="1:3" s="30" customFormat="1" x14ac:dyDescent="0.2">
      <c r="A7" s="34"/>
      <c r="B7" s="33"/>
      <c r="C7" s="32"/>
    </row>
    <row r="8" spans="1:3" ht="18.75" x14ac:dyDescent="0.3">
      <c r="A8" s="261" t="s">
        <v>52</v>
      </c>
      <c r="B8" s="262"/>
      <c r="C8" s="262"/>
    </row>
    <row r="9" spans="1:3" x14ac:dyDescent="0.2">
      <c r="A9" s="263"/>
      <c r="B9" s="264"/>
      <c r="C9" s="264"/>
    </row>
    <row r="10" spans="1:3" s="30" customFormat="1" ht="18" x14ac:dyDescent="0.25">
      <c r="A10" s="31"/>
      <c r="B10" s="12"/>
      <c r="C10" s="3" t="s">
        <v>51</v>
      </c>
    </row>
    <row r="11" spans="1:3" ht="18" x14ac:dyDescent="0.25">
      <c r="A11" s="9" t="s">
        <v>50</v>
      </c>
      <c r="B11" s="27"/>
      <c r="C11" s="15">
        <f>C12+C13+C14</f>
        <v>0</v>
      </c>
    </row>
    <row r="12" spans="1:3" ht="18" x14ac:dyDescent="0.25">
      <c r="A12" s="18" t="s">
        <v>49</v>
      </c>
      <c r="B12" s="27"/>
      <c r="C12" s="19"/>
    </row>
    <row r="13" spans="1:3" ht="18" x14ac:dyDescent="0.25">
      <c r="A13" s="18" t="s">
        <v>48</v>
      </c>
      <c r="B13" s="27"/>
      <c r="C13" s="19"/>
    </row>
    <row r="14" spans="1:3" ht="18" x14ac:dyDescent="0.25">
      <c r="A14" s="18" t="s">
        <v>47</v>
      </c>
      <c r="B14" s="27"/>
      <c r="C14" s="19"/>
    </row>
    <row r="15" spans="1:3" ht="18" x14ac:dyDescent="0.25">
      <c r="A15" s="4" t="s">
        <v>46</v>
      </c>
      <c r="B15" s="29"/>
      <c r="C15" s="15">
        <f>C16+C17+C18+C19+C20+C21+C22+C22+C23+C24</f>
        <v>0</v>
      </c>
    </row>
    <row r="16" spans="1:3" ht="18" x14ac:dyDescent="0.25">
      <c r="A16" s="26" t="s">
        <v>45</v>
      </c>
      <c r="B16" s="29"/>
      <c r="C16" s="19"/>
    </row>
    <row r="17" spans="1:3" ht="18" x14ac:dyDescent="0.25">
      <c r="A17" s="25" t="s">
        <v>44</v>
      </c>
      <c r="B17" s="27"/>
      <c r="C17" s="19"/>
    </row>
    <row r="18" spans="1:3" ht="18" x14ac:dyDescent="0.25">
      <c r="A18" s="25" t="s">
        <v>43</v>
      </c>
      <c r="B18" s="27"/>
      <c r="C18" s="19"/>
    </row>
    <row r="19" spans="1:3" ht="18" x14ac:dyDescent="0.25">
      <c r="A19" s="25" t="s">
        <v>42</v>
      </c>
      <c r="B19" s="27"/>
      <c r="C19" s="19"/>
    </row>
    <row r="20" spans="1:3" ht="18" x14ac:dyDescent="0.25">
      <c r="A20" s="25" t="s">
        <v>41</v>
      </c>
      <c r="B20" s="27"/>
      <c r="C20" s="19"/>
    </row>
    <row r="21" spans="1:3" ht="18" x14ac:dyDescent="0.25">
      <c r="A21" s="25" t="s">
        <v>40</v>
      </c>
      <c r="B21" s="20"/>
      <c r="C21" s="19"/>
    </row>
    <row r="22" spans="1:3" ht="18" x14ac:dyDescent="0.25">
      <c r="A22" s="25" t="s">
        <v>39</v>
      </c>
      <c r="B22" s="3"/>
      <c r="C22" s="5"/>
    </row>
    <row r="23" spans="1:3" ht="18" x14ac:dyDescent="0.25">
      <c r="A23" s="25" t="s">
        <v>38</v>
      </c>
      <c r="B23" s="20"/>
      <c r="C23" s="19"/>
    </row>
    <row r="24" spans="1:3" ht="18" x14ac:dyDescent="0.25">
      <c r="A24" s="25" t="s">
        <v>37</v>
      </c>
      <c r="B24" s="20"/>
      <c r="C24" s="19"/>
    </row>
    <row r="25" spans="1:3" ht="18" x14ac:dyDescent="0.25">
      <c r="A25" s="9" t="s">
        <v>36</v>
      </c>
      <c r="B25" s="20"/>
      <c r="C25" s="15">
        <f>C11+C15</f>
        <v>0</v>
      </c>
    </row>
    <row r="26" spans="1:3" ht="18" x14ac:dyDescent="0.25">
      <c r="A26" s="28" t="s">
        <v>35</v>
      </c>
      <c r="B26" s="27"/>
      <c r="C26" s="15">
        <f>SUM(C27:C30)</f>
        <v>0</v>
      </c>
    </row>
    <row r="27" spans="1:3" ht="18" x14ac:dyDescent="0.25">
      <c r="A27" s="26" t="s">
        <v>34</v>
      </c>
      <c r="B27" s="16"/>
      <c r="C27" s="17"/>
    </row>
    <row r="28" spans="1:3" ht="18" x14ac:dyDescent="0.25">
      <c r="A28" s="25" t="s">
        <v>33</v>
      </c>
      <c r="B28" s="16"/>
      <c r="C28" s="17"/>
    </row>
    <row r="29" spans="1:3" ht="18" x14ac:dyDescent="0.25">
      <c r="A29" s="25" t="s">
        <v>32</v>
      </c>
      <c r="B29" s="16"/>
      <c r="C29" s="17"/>
    </row>
    <row r="30" spans="1:3" ht="18" x14ac:dyDescent="0.25">
      <c r="A30" s="25" t="s">
        <v>31</v>
      </c>
      <c r="B30" s="16"/>
      <c r="C30" s="17"/>
    </row>
    <row r="31" spans="1:3" ht="18" x14ac:dyDescent="0.25">
      <c r="A31" s="24" t="s">
        <v>30</v>
      </c>
      <c r="B31" s="16"/>
      <c r="C31" s="23">
        <f>C25+C26</f>
        <v>0</v>
      </c>
    </row>
    <row r="32" spans="1:3" ht="18" x14ac:dyDescent="0.25">
      <c r="A32" s="4" t="s">
        <v>29</v>
      </c>
      <c r="B32" s="16"/>
      <c r="C32" s="23">
        <f>SUM(C33:C35)</f>
        <v>0</v>
      </c>
    </row>
    <row r="33" spans="1:3" ht="18" x14ac:dyDescent="0.25">
      <c r="A33" s="22" t="s">
        <v>28</v>
      </c>
      <c r="B33" s="20"/>
      <c r="C33" s="19"/>
    </row>
    <row r="34" spans="1:3" ht="18" x14ac:dyDescent="0.25">
      <c r="A34" s="22" t="s">
        <v>27</v>
      </c>
      <c r="B34" s="20"/>
      <c r="C34" s="19"/>
    </row>
    <row r="35" spans="1:3" ht="18" x14ac:dyDescent="0.25">
      <c r="A35" s="22" t="s">
        <v>26</v>
      </c>
      <c r="B35" s="20"/>
      <c r="C35" s="19"/>
    </row>
    <row r="36" spans="1:3" ht="18" x14ac:dyDescent="0.25">
      <c r="A36" s="9" t="s">
        <v>25</v>
      </c>
      <c r="B36" s="20"/>
      <c r="C36" s="21">
        <f>C25-C32</f>
        <v>0</v>
      </c>
    </row>
    <row r="37" spans="1:3" ht="18" x14ac:dyDescent="0.25">
      <c r="A37" s="9" t="s">
        <v>24</v>
      </c>
      <c r="B37" s="20"/>
      <c r="C37" s="14">
        <f>C38+C39</f>
        <v>0</v>
      </c>
    </row>
    <row r="38" spans="1:3" ht="18" x14ac:dyDescent="0.25">
      <c r="A38" s="18" t="s">
        <v>23</v>
      </c>
      <c r="B38" s="20"/>
      <c r="C38" s="19"/>
    </row>
    <row r="39" spans="1:3" ht="18" x14ac:dyDescent="0.25">
      <c r="A39" s="18" t="s">
        <v>22</v>
      </c>
      <c r="B39" s="20"/>
      <c r="C39" s="19"/>
    </row>
    <row r="40" spans="1:3" ht="18" x14ac:dyDescent="0.25">
      <c r="A40" s="9" t="s">
        <v>21</v>
      </c>
      <c r="B40" s="12"/>
      <c r="C40" s="14">
        <f>SUM(C41:C48)</f>
        <v>0</v>
      </c>
    </row>
    <row r="41" spans="1:3" ht="18" x14ac:dyDescent="0.25">
      <c r="A41" s="18" t="s">
        <v>20</v>
      </c>
      <c r="B41" s="3"/>
      <c r="C41" s="13"/>
    </row>
    <row r="42" spans="1:3" ht="18" x14ac:dyDescent="0.25">
      <c r="A42" s="18" t="s">
        <v>19</v>
      </c>
      <c r="B42" s="16"/>
      <c r="C42" s="17"/>
    </row>
    <row r="43" spans="1:3" ht="18" x14ac:dyDescent="0.25">
      <c r="A43" s="18" t="s">
        <v>18</v>
      </c>
      <c r="B43" s="16"/>
      <c r="C43" s="17"/>
    </row>
    <row r="44" spans="1:3" ht="18" x14ac:dyDescent="0.25">
      <c r="A44" s="18" t="s">
        <v>17</v>
      </c>
      <c r="B44" s="16"/>
      <c r="C44" s="17"/>
    </row>
    <row r="45" spans="1:3" ht="18" x14ac:dyDescent="0.25">
      <c r="A45" s="18" t="s">
        <v>16</v>
      </c>
      <c r="B45" s="16"/>
      <c r="C45" s="17"/>
    </row>
    <row r="46" spans="1:3" ht="18" x14ac:dyDescent="0.25">
      <c r="A46" s="18" t="s">
        <v>15</v>
      </c>
      <c r="B46" s="16"/>
      <c r="C46" s="17"/>
    </row>
    <row r="47" spans="1:3" ht="18" x14ac:dyDescent="0.25">
      <c r="A47" s="18" t="s">
        <v>14</v>
      </c>
      <c r="B47" s="16"/>
      <c r="C47" s="17"/>
    </row>
    <row r="48" spans="1:3" ht="18" x14ac:dyDescent="0.25">
      <c r="A48" s="18" t="s">
        <v>13</v>
      </c>
      <c r="B48" s="16"/>
      <c r="C48" s="17"/>
    </row>
    <row r="49" spans="1:3" ht="18" x14ac:dyDescent="0.25">
      <c r="A49" s="9" t="s">
        <v>12</v>
      </c>
      <c r="B49" s="16"/>
      <c r="C49" s="15">
        <f>C40+C37+C32</f>
        <v>0</v>
      </c>
    </row>
    <row r="50" spans="1:3" ht="18" x14ac:dyDescent="0.25">
      <c r="A50" s="4" t="s">
        <v>11</v>
      </c>
      <c r="B50" s="12"/>
      <c r="C50" s="14">
        <f>C31-C49</f>
        <v>0</v>
      </c>
    </row>
    <row r="51" spans="1:3" ht="18" x14ac:dyDescent="0.25">
      <c r="A51" s="10" t="s">
        <v>10</v>
      </c>
      <c r="B51" s="12"/>
      <c r="C51" s="13">
        <v>0</v>
      </c>
    </row>
    <row r="52" spans="1:3" ht="18" x14ac:dyDescent="0.25">
      <c r="A52" s="4" t="s">
        <v>9</v>
      </c>
      <c r="B52" s="12"/>
      <c r="C52" s="14">
        <f>C50+C51</f>
        <v>0</v>
      </c>
    </row>
    <row r="53" spans="1:3" ht="18" x14ac:dyDescent="0.25">
      <c r="A53" s="10" t="s">
        <v>8</v>
      </c>
      <c r="B53" s="12"/>
      <c r="C53" s="13"/>
    </row>
    <row r="54" spans="1:3" ht="18" x14ac:dyDescent="0.25">
      <c r="A54" s="9" t="s">
        <v>7</v>
      </c>
      <c r="B54" s="12"/>
      <c r="C54" s="11">
        <f>C52-C53</f>
        <v>0</v>
      </c>
    </row>
    <row r="55" spans="1:3" ht="18" x14ac:dyDescent="0.25">
      <c r="A55" s="10" t="s">
        <v>6</v>
      </c>
      <c r="B55" s="3"/>
      <c r="C55" s="5"/>
    </row>
    <row r="56" spans="1:3" ht="18" x14ac:dyDescent="0.25">
      <c r="A56" s="4" t="s">
        <v>5</v>
      </c>
      <c r="B56" s="3"/>
      <c r="C56" s="2">
        <f>C54-C55</f>
        <v>0</v>
      </c>
    </row>
    <row r="57" spans="1:3" ht="18" x14ac:dyDescent="0.25">
      <c r="A57" s="9"/>
      <c r="B57" s="9"/>
      <c r="C57" s="9"/>
    </row>
    <row r="58" spans="1:3" ht="18" x14ac:dyDescent="0.25">
      <c r="A58" s="4" t="s">
        <v>4</v>
      </c>
      <c r="B58" s="3"/>
      <c r="C58" s="5">
        <f>SUM(C59:C61)</f>
        <v>0</v>
      </c>
    </row>
    <row r="59" spans="1:3" ht="18" x14ac:dyDescent="0.25">
      <c r="A59" s="8" t="s">
        <v>3</v>
      </c>
      <c r="B59" s="6"/>
      <c r="C59" s="5"/>
    </row>
    <row r="60" spans="1:3" ht="18" x14ac:dyDescent="0.25">
      <c r="A60" s="7" t="s">
        <v>2</v>
      </c>
      <c r="B60" s="6"/>
      <c r="C60" s="5"/>
    </row>
    <row r="61" spans="1:3" ht="18" x14ac:dyDescent="0.25">
      <c r="A61" s="7" t="s">
        <v>1</v>
      </c>
      <c r="B61" s="6"/>
      <c r="C61" s="5"/>
    </row>
    <row r="62" spans="1:3" ht="18" x14ac:dyDescent="0.25">
      <c r="A62" s="4" t="s">
        <v>0</v>
      </c>
      <c r="B62" s="3"/>
      <c r="C62" s="2">
        <f>C56+C58</f>
        <v>0</v>
      </c>
    </row>
  </sheetData>
  <sheetProtection selectLockedCells="1"/>
  <mergeCells count="2">
    <mergeCell ref="A8:C8"/>
    <mergeCell ref="A9:C9"/>
  </mergeCells>
  <pageMargins left="0.75" right="0.75" top="1" bottom="1" header="0.5" footer="0.5"/>
  <pageSetup scale="3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70"/>
  <sheetViews>
    <sheetView zoomScaleNormal="100" workbookViewId="0">
      <selection activeCell="B13" sqref="B13"/>
    </sheetView>
  </sheetViews>
  <sheetFormatPr defaultRowHeight="12.75" x14ac:dyDescent="0.2"/>
  <cols>
    <col min="1" max="1" width="83.28515625" style="40" customWidth="1"/>
    <col min="2" max="2" width="19" style="30" bestFit="1" customWidth="1"/>
    <col min="3" max="3" width="22" style="30" customWidth="1"/>
    <col min="4" max="16384" width="9.140625" style="30"/>
  </cols>
  <sheetData>
    <row r="1" spans="1:3" ht="21" x14ac:dyDescent="0.35">
      <c r="A1" s="242" t="s">
        <v>358</v>
      </c>
      <c r="B1" s="35"/>
    </row>
    <row r="2" spans="1:3" ht="20.25" x14ac:dyDescent="0.3">
      <c r="A2" s="67"/>
      <c r="B2" s="35"/>
    </row>
    <row r="3" spans="1:3" ht="20.25" x14ac:dyDescent="0.3">
      <c r="A3" s="66" t="s">
        <v>56</v>
      </c>
      <c r="B3" s="247" t="str">
        <f>'COMPREHENSIVE INCOME'!B3</f>
        <v/>
      </c>
    </row>
    <row r="4" spans="1:3" ht="20.25" x14ac:dyDescent="0.3">
      <c r="A4" s="66" t="s">
        <v>55</v>
      </c>
      <c r="B4" s="248">
        <f>'COMPREHENSIVE INCOME'!B4</f>
        <v>0</v>
      </c>
    </row>
    <row r="5" spans="1:3" ht="20.25" x14ac:dyDescent="0.3">
      <c r="A5" s="66" t="s">
        <v>54</v>
      </c>
      <c r="B5" s="249">
        <f>'COMPREHENSIVE INCOME'!B5</f>
        <v>0</v>
      </c>
    </row>
    <row r="6" spans="1:3" ht="20.25" x14ac:dyDescent="0.3">
      <c r="A6" s="66" t="s">
        <v>53</v>
      </c>
      <c r="B6" s="249">
        <f>'COMPREHENSIVE INCOME'!B6</f>
        <v>0</v>
      </c>
    </row>
    <row r="7" spans="1:3" ht="13.5" thickBot="1" x14ac:dyDescent="0.25">
      <c r="A7" s="32"/>
      <c r="B7" s="33"/>
    </row>
    <row r="8" spans="1:3" ht="21" thickBot="1" x14ac:dyDescent="0.35">
      <c r="A8" s="265" t="s">
        <v>111</v>
      </c>
      <c r="B8" s="266"/>
      <c r="C8" s="266"/>
    </row>
    <row r="9" spans="1:3" ht="21" thickBot="1" x14ac:dyDescent="0.35">
      <c r="A9" s="267"/>
      <c r="B9" s="268"/>
      <c r="C9" s="268"/>
    </row>
    <row r="10" spans="1:3" ht="13.5" thickBot="1" x14ac:dyDescent="0.25">
      <c r="A10" s="65"/>
      <c r="B10" s="253"/>
      <c r="C10" s="64" t="s">
        <v>110</v>
      </c>
    </row>
    <row r="11" spans="1:3" x14ac:dyDescent="0.2">
      <c r="A11" s="63" t="s">
        <v>109</v>
      </c>
      <c r="B11" s="254"/>
      <c r="C11" s="62">
        <f>SUM(C12:C13)</f>
        <v>0</v>
      </c>
    </row>
    <row r="12" spans="1:3" x14ac:dyDescent="0.2">
      <c r="A12" s="61" t="s">
        <v>108</v>
      </c>
      <c r="B12" s="254"/>
      <c r="C12" s="49"/>
    </row>
    <row r="13" spans="1:3" x14ac:dyDescent="0.2">
      <c r="A13" s="61" t="s">
        <v>107</v>
      </c>
      <c r="B13" s="255"/>
      <c r="C13" s="49"/>
    </row>
    <row r="14" spans="1:3" s="59" customFormat="1" ht="15.75" x14ac:dyDescent="0.25">
      <c r="A14" s="44" t="s">
        <v>106</v>
      </c>
      <c r="B14" s="256"/>
      <c r="C14" s="60">
        <f>SUM(C15:C19)</f>
        <v>0</v>
      </c>
    </row>
    <row r="15" spans="1:3" x14ac:dyDescent="0.2">
      <c r="A15" s="57" t="s">
        <v>105</v>
      </c>
      <c r="B15" s="255"/>
      <c r="C15" s="45"/>
    </row>
    <row r="16" spans="1:3" x14ac:dyDescent="0.2">
      <c r="A16" s="57" t="s">
        <v>104</v>
      </c>
      <c r="B16" s="255"/>
      <c r="C16" s="45"/>
    </row>
    <row r="17" spans="1:3" x14ac:dyDescent="0.2">
      <c r="A17" s="57" t="s">
        <v>103</v>
      </c>
      <c r="B17" s="255"/>
      <c r="C17" s="45"/>
    </row>
    <row r="18" spans="1:3" x14ac:dyDescent="0.2">
      <c r="A18" s="57" t="s">
        <v>102</v>
      </c>
      <c r="B18" s="255"/>
      <c r="C18" s="45"/>
    </row>
    <row r="19" spans="1:3" x14ac:dyDescent="0.2">
      <c r="A19" s="57" t="s">
        <v>101</v>
      </c>
      <c r="B19" s="255"/>
      <c r="C19" s="45"/>
    </row>
    <row r="20" spans="1:3" ht="15.75" x14ac:dyDescent="0.25">
      <c r="A20" s="44" t="s">
        <v>100</v>
      </c>
      <c r="B20" s="255"/>
      <c r="C20" s="47">
        <f>C21+C22+C32</f>
        <v>0</v>
      </c>
    </row>
    <row r="21" spans="1:3" x14ac:dyDescent="0.2">
      <c r="A21" s="57" t="s">
        <v>99</v>
      </c>
      <c r="B21" s="255"/>
      <c r="C21" s="49"/>
    </row>
    <row r="22" spans="1:3" x14ac:dyDescent="0.2">
      <c r="A22" s="57" t="s">
        <v>98</v>
      </c>
      <c r="B22" s="255"/>
      <c r="C22" s="50">
        <f>SUM(C23:C31)</f>
        <v>0</v>
      </c>
    </row>
    <row r="23" spans="1:3" x14ac:dyDescent="0.2">
      <c r="A23" s="58" t="s">
        <v>97</v>
      </c>
      <c r="B23" s="255"/>
      <c r="C23" s="45"/>
    </row>
    <row r="24" spans="1:3" x14ac:dyDescent="0.2">
      <c r="A24" s="58" t="s">
        <v>96</v>
      </c>
      <c r="B24" s="255"/>
      <c r="C24" s="45"/>
    </row>
    <row r="25" spans="1:3" x14ac:dyDescent="0.2">
      <c r="A25" s="58" t="s">
        <v>95</v>
      </c>
      <c r="B25" s="255"/>
      <c r="C25" s="45"/>
    </row>
    <row r="26" spans="1:3" x14ac:dyDescent="0.2">
      <c r="A26" s="58" t="s">
        <v>94</v>
      </c>
      <c r="B26" s="255"/>
      <c r="C26" s="45"/>
    </row>
    <row r="27" spans="1:3" x14ac:dyDescent="0.2">
      <c r="A27" s="58" t="s">
        <v>93</v>
      </c>
      <c r="B27" s="255"/>
      <c r="C27" s="45"/>
    </row>
    <row r="28" spans="1:3" x14ac:dyDescent="0.2">
      <c r="A28" s="58" t="s">
        <v>92</v>
      </c>
      <c r="B28" s="255"/>
      <c r="C28" s="45"/>
    </row>
    <row r="29" spans="1:3" x14ac:dyDescent="0.2">
      <c r="A29" s="58" t="s">
        <v>91</v>
      </c>
      <c r="B29" s="255"/>
      <c r="C29" s="45"/>
    </row>
    <row r="30" spans="1:3" x14ac:dyDescent="0.2">
      <c r="A30" s="58" t="s">
        <v>90</v>
      </c>
      <c r="B30" s="255"/>
      <c r="C30" s="45"/>
    </row>
    <row r="31" spans="1:3" x14ac:dyDescent="0.2">
      <c r="A31" s="58" t="s">
        <v>89</v>
      </c>
      <c r="B31" s="255"/>
      <c r="C31" s="45"/>
    </row>
    <row r="32" spans="1:3" x14ac:dyDescent="0.2">
      <c r="A32" s="57" t="s">
        <v>88</v>
      </c>
      <c r="B32" s="256"/>
      <c r="C32" s="45"/>
    </row>
    <row r="33" spans="1:3" x14ac:dyDescent="0.2">
      <c r="A33" s="57" t="s">
        <v>87</v>
      </c>
      <c r="B33" s="255"/>
      <c r="C33" s="49"/>
    </row>
    <row r="34" spans="1:3" ht="15.75" x14ac:dyDescent="0.25">
      <c r="A34" s="44" t="s">
        <v>86</v>
      </c>
      <c r="B34" s="255"/>
      <c r="C34" s="50">
        <f>SUM(C20-C33)</f>
        <v>0</v>
      </c>
    </row>
    <row r="35" spans="1:3" ht="15.75" x14ac:dyDescent="0.25">
      <c r="A35" s="56" t="s">
        <v>85</v>
      </c>
      <c r="B35" s="255"/>
      <c r="C35" s="45"/>
    </row>
    <row r="36" spans="1:3" ht="15.75" x14ac:dyDescent="0.25">
      <c r="A36" s="44" t="s">
        <v>84</v>
      </c>
      <c r="B36" s="256"/>
      <c r="C36" s="50">
        <f>SUM(C11+C14+C34+C35)</f>
        <v>0</v>
      </c>
    </row>
    <row r="37" spans="1:3" ht="15.75" x14ac:dyDescent="0.25">
      <c r="A37" s="55" t="s">
        <v>83</v>
      </c>
      <c r="B37" s="256"/>
      <c r="C37" s="49"/>
    </row>
    <row r="38" spans="1:3" ht="15.75" x14ac:dyDescent="0.25">
      <c r="A38" s="44"/>
      <c r="B38" s="257"/>
      <c r="C38" s="50">
        <f>C36+C37</f>
        <v>0</v>
      </c>
    </row>
    <row r="39" spans="1:3" x14ac:dyDescent="0.2">
      <c r="A39" s="52"/>
      <c r="B39" s="257"/>
      <c r="C39" s="53"/>
    </row>
    <row r="40" spans="1:3" ht="15" x14ac:dyDescent="0.25">
      <c r="A40" s="54" t="s">
        <v>82</v>
      </c>
      <c r="B40" s="258"/>
      <c r="C40" s="47"/>
    </row>
    <row r="41" spans="1:3" ht="15.75" x14ac:dyDescent="0.25">
      <c r="A41" s="44" t="s">
        <v>81</v>
      </c>
      <c r="B41" s="258"/>
      <c r="C41" s="47">
        <f>SUM(C42+C43)</f>
        <v>0</v>
      </c>
    </row>
    <row r="42" spans="1:3" x14ac:dyDescent="0.2">
      <c r="A42" s="46" t="s">
        <v>80</v>
      </c>
      <c r="B42" s="258"/>
      <c r="C42" s="45"/>
    </row>
    <row r="43" spans="1:3" x14ac:dyDescent="0.2">
      <c r="A43" s="46" t="s">
        <v>79</v>
      </c>
      <c r="B43" s="258"/>
      <c r="C43" s="45"/>
    </row>
    <row r="44" spans="1:3" ht="15.75" x14ac:dyDescent="0.25">
      <c r="A44" s="44" t="s">
        <v>78</v>
      </c>
      <c r="B44" s="258"/>
      <c r="C44" s="45"/>
    </row>
    <row r="45" spans="1:3" ht="15.75" x14ac:dyDescent="0.25">
      <c r="A45" s="44" t="s">
        <v>77</v>
      </c>
      <c r="B45" s="258"/>
      <c r="C45" s="45"/>
    </row>
    <row r="46" spans="1:3" ht="15.75" x14ac:dyDescent="0.25">
      <c r="A46" s="44" t="s">
        <v>76</v>
      </c>
      <c r="B46" s="258"/>
      <c r="C46" s="45"/>
    </row>
    <row r="47" spans="1:3" ht="15.75" x14ac:dyDescent="0.25">
      <c r="A47" s="44"/>
      <c r="B47" s="258"/>
      <c r="C47" s="45"/>
    </row>
    <row r="48" spans="1:3" ht="15.75" x14ac:dyDescent="0.25">
      <c r="A48" s="44" t="s">
        <v>75</v>
      </c>
      <c r="B48" s="257"/>
      <c r="C48" s="50">
        <f>SUM(C42:C46)</f>
        <v>0</v>
      </c>
    </row>
    <row r="49" spans="1:3" ht="15.75" x14ac:dyDescent="0.25">
      <c r="A49" s="44"/>
      <c r="B49" s="257"/>
      <c r="C49" s="45"/>
    </row>
    <row r="50" spans="1:3" ht="15.75" x14ac:dyDescent="0.25">
      <c r="A50" s="44" t="s">
        <v>74</v>
      </c>
      <c r="B50" s="258"/>
      <c r="C50" s="49"/>
    </row>
    <row r="51" spans="1:3" ht="15.75" x14ac:dyDescent="0.25">
      <c r="A51" s="44"/>
      <c r="B51" s="258"/>
      <c r="C51" s="45"/>
    </row>
    <row r="52" spans="1:3" ht="15.75" x14ac:dyDescent="0.25">
      <c r="A52" s="44" t="s">
        <v>73</v>
      </c>
      <c r="B52" s="257"/>
      <c r="C52" s="47">
        <f>SUM(C53+C54+C55)</f>
        <v>0</v>
      </c>
    </row>
    <row r="53" spans="1:3" x14ac:dyDescent="0.2">
      <c r="A53" s="46" t="s">
        <v>72</v>
      </c>
      <c r="B53" s="257"/>
      <c r="C53" s="45"/>
    </row>
    <row r="54" spans="1:3" x14ac:dyDescent="0.2">
      <c r="A54" s="46" t="s">
        <v>71</v>
      </c>
      <c r="B54" s="258"/>
      <c r="C54" s="45"/>
    </row>
    <row r="55" spans="1:3" x14ac:dyDescent="0.2">
      <c r="A55" s="46" t="s">
        <v>70</v>
      </c>
      <c r="B55" s="258"/>
      <c r="C55" s="45"/>
    </row>
    <row r="56" spans="1:3" ht="15.75" x14ac:dyDescent="0.25">
      <c r="A56" s="44" t="s">
        <v>69</v>
      </c>
      <c r="B56" s="258"/>
      <c r="C56" s="50">
        <f>SUM(C48:C52)</f>
        <v>0</v>
      </c>
    </row>
    <row r="57" spans="1:3" x14ac:dyDescent="0.2">
      <c r="A57" s="52"/>
      <c r="B57" s="258"/>
      <c r="C57" s="49"/>
    </row>
    <row r="58" spans="1:3" ht="15.75" x14ac:dyDescent="0.25">
      <c r="A58" s="51" t="s">
        <v>68</v>
      </c>
      <c r="B58" s="258"/>
      <c r="C58" s="50">
        <f>SUM(C59+C60+C61+C62+C63+C64+C65+C66)</f>
        <v>0</v>
      </c>
    </row>
    <row r="59" spans="1:3" x14ac:dyDescent="0.2">
      <c r="A59" s="48" t="s">
        <v>67</v>
      </c>
      <c r="B59" s="258"/>
      <c r="C59" s="49"/>
    </row>
    <row r="60" spans="1:3" x14ac:dyDescent="0.2">
      <c r="A60" s="48" t="s">
        <v>66</v>
      </c>
      <c r="B60" s="255"/>
      <c r="C60" s="45"/>
    </row>
    <row r="61" spans="1:3" x14ac:dyDescent="0.2">
      <c r="A61" s="48" t="s">
        <v>65</v>
      </c>
      <c r="B61" s="255"/>
      <c r="C61" s="45"/>
    </row>
    <row r="62" spans="1:3" x14ac:dyDescent="0.2">
      <c r="A62" s="48" t="s">
        <v>64</v>
      </c>
      <c r="B62" s="255"/>
      <c r="C62" s="45"/>
    </row>
    <row r="63" spans="1:3" x14ac:dyDescent="0.2">
      <c r="A63" s="48" t="s">
        <v>63</v>
      </c>
      <c r="B63" s="255"/>
      <c r="C63" s="45"/>
    </row>
    <row r="64" spans="1:3" x14ac:dyDescent="0.2">
      <c r="A64" s="48" t="s">
        <v>62</v>
      </c>
      <c r="B64" s="255"/>
      <c r="C64" s="45"/>
    </row>
    <row r="65" spans="1:3" x14ac:dyDescent="0.2">
      <c r="A65" s="48" t="s">
        <v>61</v>
      </c>
      <c r="B65" s="255"/>
      <c r="C65" s="45"/>
    </row>
    <row r="66" spans="1:3" x14ac:dyDescent="0.2">
      <c r="A66" s="48" t="s">
        <v>60</v>
      </c>
      <c r="B66" s="255"/>
      <c r="C66" s="47">
        <f>C67+C68</f>
        <v>0</v>
      </c>
    </row>
    <row r="67" spans="1:3" x14ac:dyDescent="0.2">
      <c r="A67" s="46" t="s">
        <v>59</v>
      </c>
      <c r="B67" s="255"/>
      <c r="C67" s="45"/>
    </row>
    <row r="68" spans="1:3" x14ac:dyDescent="0.2">
      <c r="A68" s="46" t="s">
        <v>58</v>
      </c>
      <c r="B68" s="255"/>
      <c r="C68" s="45"/>
    </row>
    <row r="69" spans="1:3" ht="16.5" thickBot="1" x14ac:dyDescent="0.3">
      <c r="A69" s="44" t="s">
        <v>57</v>
      </c>
      <c r="B69" s="259"/>
      <c r="C69" s="43">
        <f>C58+C56</f>
        <v>0</v>
      </c>
    </row>
    <row r="70" spans="1:3" x14ac:dyDescent="0.2">
      <c r="A70" s="42"/>
      <c r="B70" s="41"/>
    </row>
  </sheetData>
  <sheetProtection selectLockedCells="1"/>
  <mergeCells count="2">
    <mergeCell ref="A8:C8"/>
    <mergeCell ref="A9:C9"/>
  </mergeCells>
  <pageMargins left="0.75" right="0.75" top="1" bottom="1" header="0.5" footer="0.5"/>
  <pageSetup scale="46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zoomScaleNormal="100" workbookViewId="0">
      <selection activeCell="B3" sqref="B3:B6"/>
    </sheetView>
  </sheetViews>
  <sheetFormatPr defaultRowHeight="12.75" x14ac:dyDescent="0.2"/>
  <cols>
    <col min="1" max="1" width="27.140625" style="30" customWidth="1"/>
    <col min="2" max="2" width="39.5703125" style="30" customWidth="1"/>
    <col min="3" max="3" width="18.42578125" style="30" customWidth="1"/>
    <col min="4" max="4" width="32.7109375" style="30" customWidth="1"/>
    <col min="5" max="5" width="20" style="30" customWidth="1"/>
    <col min="6" max="6" width="26.42578125" style="30" customWidth="1"/>
    <col min="7" max="7" width="27.140625" style="30" customWidth="1"/>
    <col min="8" max="16384" width="9.140625" style="30"/>
  </cols>
  <sheetData>
    <row r="1" spans="1:7" ht="20.25" x14ac:dyDescent="0.3">
      <c r="A1" s="241" t="s">
        <v>359</v>
      </c>
      <c r="B1" s="39"/>
      <c r="C1" s="39"/>
      <c r="D1" s="101"/>
      <c r="E1" s="101"/>
      <c r="F1" s="93"/>
      <c r="G1" s="93"/>
    </row>
    <row r="2" spans="1:7" ht="20.25" x14ac:dyDescent="0.3">
      <c r="A2" s="93"/>
      <c r="B2" s="35"/>
      <c r="C2" s="35"/>
      <c r="D2" s="93"/>
      <c r="E2" s="93"/>
      <c r="F2" s="93"/>
      <c r="G2" s="93"/>
    </row>
    <row r="3" spans="1:7" ht="20.25" x14ac:dyDescent="0.3">
      <c r="A3" s="66" t="s">
        <v>56</v>
      </c>
      <c r="B3" s="247" t="str">
        <f>'COMPREHENSIVE INCOME'!B3</f>
        <v/>
      </c>
      <c r="C3" s="93"/>
      <c r="D3" s="100"/>
      <c r="E3" s="100"/>
      <c r="F3" s="93"/>
      <c r="G3" s="99"/>
    </row>
    <row r="4" spans="1:7" ht="20.25" x14ac:dyDescent="0.3">
      <c r="A4" s="66" t="s">
        <v>55</v>
      </c>
      <c r="B4" s="248">
        <f>'COMPREHENSIVE INCOME'!B4</f>
        <v>0</v>
      </c>
      <c r="C4" s="93"/>
      <c r="D4" s="98"/>
      <c r="E4" s="98"/>
      <c r="F4" s="93"/>
      <c r="G4" s="93"/>
    </row>
    <row r="5" spans="1:7" ht="20.25" x14ac:dyDescent="0.3">
      <c r="A5" s="66" t="s">
        <v>54</v>
      </c>
      <c r="B5" s="249">
        <f>'COMPREHENSIVE INCOME'!B5</f>
        <v>0</v>
      </c>
      <c r="C5" s="93"/>
      <c r="D5" s="96"/>
      <c r="E5" s="96"/>
      <c r="F5" s="93"/>
      <c r="G5" s="93"/>
    </row>
    <row r="6" spans="1:7" ht="20.25" x14ac:dyDescent="0.3">
      <c r="A6" s="66" t="s">
        <v>53</v>
      </c>
      <c r="B6" s="249">
        <f>'COMPREHENSIVE INCOME'!B6</f>
        <v>0</v>
      </c>
      <c r="C6" s="93"/>
      <c r="D6" s="96"/>
      <c r="E6" s="96"/>
      <c r="F6" s="93"/>
      <c r="G6" s="93"/>
    </row>
    <row r="7" spans="1:7" ht="21" thickBot="1" x14ac:dyDescent="0.35">
      <c r="A7" s="94"/>
      <c r="B7" s="95"/>
      <c r="C7" s="95"/>
      <c r="D7" s="94"/>
      <c r="E7" s="94"/>
      <c r="F7" s="93"/>
      <c r="G7" s="93"/>
    </row>
    <row r="8" spans="1:7" ht="21" thickBot="1" x14ac:dyDescent="0.35">
      <c r="A8" s="92"/>
      <c r="B8" s="91"/>
      <c r="C8" s="91"/>
      <c r="D8" s="91"/>
      <c r="E8" s="91"/>
      <c r="F8" s="90"/>
      <c r="G8" s="89"/>
    </row>
    <row r="9" spans="1:7" ht="20.25" x14ac:dyDescent="0.3">
      <c r="A9" s="269" t="s">
        <v>120</v>
      </c>
      <c r="B9" s="270"/>
      <c r="C9" s="270"/>
      <c r="D9" s="270"/>
      <c r="E9" s="270"/>
      <c r="F9" s="270"/>
      <c r="G9" s="270"/>
    </row>
    <row r="10" spans="1:7" ht="20.25" x14ac:dyDescent="0.3">
      <c r="A10" s="88" t="s">
        <v>119</v>
      </c>
      <c r="B10" s="87" t="s">
        <v>118</v>
      </c>
      <c r="C10" s="87" t="s">
        <v>117</v>
      </c>
      <c r="D10" s="87" t="s">
        <v>116</v>
      </c>
      <c r="E10" s="87" t="s">
        <v>115</v>
      </c>
      <c r="F10" s="87" t="s">
        <v>114</v>
      </c>
      <c r="G10" s="87" t="s">
        <v>113</v>
      </c>
    </row>
    <row r="11" spans="1:7" ht="20.25" x14ac:dyDescent="0.3">
      <c r="A11" s="86" t="s">
        <v>112</v>
      </c>
      <c r="B11" s="85"/>
      <c r="C11" s="85">
        <f>SUM(C12:C31)</f>
        <v>0</v>
      </c>
      <c r="D11" s="85">
        <f>SUM(D12:D31)</f>
        <v>0</v>
      </c>
      <c r="E11" s="85"/>
      <c r="F11" s="85"/>
      <c r="G11" s="85">
        <f>SUM(G12:G31)</f>
        <v>0</v>
      </c>
    </row>
    <row r="12" spans="1:7" ht="15.75" x14ac:dyDescent="0.25">
      <c r="A12" s="84"/>
      <c r="B12" s="83"/>
      <c r="C12" s="81"/>
      <c r="D12" s="83"/>
      <c r="E12" s="82"/>
      <c r="F12" s="81"/>
      <c r="G12" s="80"/>
    </row>
    <row r="13" spans="1:7" ht="15.75" x14ac:dyDescent="0.25">
      <c r="A13" s="79"/>
      <c r="B13" s="77"/>
      <c r="C13" s="75"/>
      <c r="D13" s="77"/>
      <c r="E13" s="76"/>
      <c r="F13" s="75"/>
      <c r="G13" s="74"/>
    </row>
    <row r="14" spans="1:7" ht="15.75" x14ac:dyDescent="0.25">
      <c r="A14" s="79"/>
      <c r="B14" s="77"/>
      <c r="C14" s="78"/>
      <c r="D14" s="77"/>
      <c r="E14" s="76"/>
      <c r="F14" s="75"/>
      <c r="G14" s="74"/>
    </row>
    <row r="15" spans="1:7" ht="15.75" x14ac:dyDescent="0.25">
      <c r="A15" s="79"/>
      <c r="B15" s="77"/>
      <c r="C15" s="78"/>
      <c r="D15" s="77"/>
      <c r="E15" s="76"/>
      <c r="F15" s="75"/>
      <c r="G15" s="74"/>
    </row>
    <row r="16" spans="1:7" x14ac:dyDescent="0.2">
      <c r="A16" s="73"/>
      <c r="B16" s="71"/>
      <c r="C16" s="71"/>
      <c r="D16" s="71"/>
      <c r="E16" s="72"/>
      <c r="F16" s="71"/>
      <c r="G16" s="71"/>
    </row>
    <row r="17" spans="1:7" x14ac:dyDescent="0.2">
      <c r="A17" s="73"/>
      <c r="B17" s="71"/>
      <c r="C17" s="71"/>
      <c r="D17" s="71"/>
      <c r="E17" s="72"/>
      <c r="F17" s="71"/>
      <c r="G17" s="71"/>
    </row>
    <row r="18" spans="1:7" x14ac:dyDescent="0.2">
      <c r="A18" s="73"/>
      <c r="B18" s="71"/>
      <c r="C18" s="71"/>
      <c r="D18" s="71"/>
      <c r="E18" s="72"/>
      <c r="F18" s="71"/>
      <c r="G18" s="71"/>
    </row>
    <row r="19" spans="1:7" x14ac:dyDescent="0.2">
      <c r="A19" s="73"/>
      <c r="B19" s="71"/>
      <c r="C19" s="71"/>
      <c r="D19" s="71"/>
      <c r="E19" s="72"/>
      <c r="F19" s="71"/>
      <c r="G19" s="71"/>
    </row>
    <row r="20" spans="1:7" x14ac:dyDescent="0.2">
      <c r="A20" s="73"/>
      <c r="B20" s="71"/>
      <c r="C20" s="71"/>
      <c r="D20" s="71"/>
      <c r="E20" s="72"/>
      <c r="F20" s="71"/>
      <c r="G20" s="71"/>
    </row>
    <row r="21" spans="1:7" x14ac:dyDescent="0.2">
      <c r="A21" s="73"/>
      <c r="B21" s="71"/>
      <c r="C21" s="71"/>
      <c r="D21" s="71"/>
      <c r="E21" s="72"/>
      <c r="F21" s="71"/>
      <c r="G21" s="71"/>
    </row>
    <row r="22" spans="1:7" x14ac:dyDescent="0.2">
      <c r="A22" s="73"/>
      <c r="B22" s="71"/>
      <c r="C22" s="71"/>
      <c r="D22" s="71"/>
      <c r="E22" s="72"/>
      <c r="F22" s="71"/>
      <c r="G22" s="71"/>
    </row>
    <row r="23" spans="1:7" x14ac:dyDescent="0.2">
      <c r="A23" s="73"/>
      <c r="B23" s="71"/>
      <c r="C23" s="71"/>
      <c r="D23" s="71"/>
      <c r="E23" s="72"/>
      <c r="F23" s="71"/>
      <c r="G23" s="71"/>
    </row>
    <row r="24" spans="1:7" x14ac:dyDescent="0.2">
      <c r="A24" s="73"/>
      <c r="B24" s="71"/>
      <c r="C24" s="71"/>
      <c r="D24" s="71"/>
      <c r="E24" s="72"/>
      <c r="F24" s="71"/>
      <c r="G24" s="71"/>
    </row>
    <row r="25" spans="1:7" x14ac:dyDescent="0.2">
      <c r="A25" s="73"/>
      <c r="B25" s="71"/>
      <c r="C25" s="71"/>
      <c r="D25" s="71"/>
      <c r="E25" s="72"/>
      <c r="F25" s="71"/>
      <c r="G25" s="71"/>
    </row>
    <row r="26" spans="1:7" x14ac:dyDescent="0.2">
      <c r="A26" s="73"/>
      <c r="B26" s="71"/>
      <c r="C26" s="71"/>
      <c r="D26" s="71"/>
      <c r="E26" s="72"/>
      <c r="F26" s="71"/>
      <c r="G26" s="71"/>
    </row>
    <row r="27" spans="1:7" x14ac:dyDescent="0.2">
      <c r="A27" s="73"/>
      <c r="B27" s="71"/>
      <c r="C27" s="71"/>
      <c r="D27" s="71"/>
      <c r="E27" s="72"/>
      <c r="F27" s="71"/>
      <c r="G27" s="71"/>
    </row>
    <row r="28" spans="1:7" x14ac:dyDescent="0.2">
      <c r="A28" s="73"/>
      <c r="B28" s="71"/>
      <c r="C28" s="71"/>
      <c r="D28" s="71"/>
      <c r="E28" s="72"/>
      <c r="F28" s="71"/>
      <c r="G28" s="71"/>
    </row>
    <row r="29" spans="1:7" x14ac:dyDescent="0.2">
      <c r="A29" s="73"/>
      <c r="B29" s="71"/>
      <c r="C29" s="71"/>
      <c r="D29" s="71"/>
      <c r="E29" s="72"/>
      <c r="F29" s="71"/>
      <c r="G29" s="71"/>
    </row>
    <row r="30" spans="1:7" x14ac:dyDescent="0.2">
      <c r="A30" s="73"/>
      <c r="B30" s="71"/>
      <c r="C30" s="71"/>
      <c r="D30" s="71"/>
      <c r="E30" s="72"/>
      <c r="F30" s="71"/>
      <c r="G30" s="71"/>
    </row>
    <row r="31" spans="1:7" ht="13.5" thickBot="1" x14ac:dyDescent="0.25">
      <c r="A31" s="70"/>
      <c r="B31" s="68"/>
      <c r="C31" s="68"/>
      <c r="D31" s="68"/>
      <c r="E31" s="69"/>
      <c r="F31" s="68"/>
      <c r="G31" s="68"/>
    </row>
  </sheetData>
  <sheetProtection selectLockedCells="1"/>
  <mergeCells count="1">
    <mergeCell ref="A9:G9"/>
  </mergeCells>
  <printOptions gridLines="1"/>
  <pageMargins left="0.75" right="0.75" top="1" bottom="1" header="0.5" footer="0.5"/>
  <pageSetup scale="6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view="pageBreakPreview" zoomScaleNormal="100" zoomScaleSheetLayoutView="100" workbookViewId="0">
      <selection activeCell="B3" sqref="B3"/>
    </sheetView>
  </sheetViews>
  <sheetFormatPr defaultRowHeight="12.75" x14ac:dyDescent="0.2"/>
  <cols>
    <col min="1" max="1" width="27.85546875" customWidth="1"/>
    <col min="2" max="2" width="29.28515625" customWidth="1"/>
    <col min="3" max="3" width="25.85546875" customWidth="1"/>
    <col min="4" max="4" width="20.7109375" customWidth="1"/>
    <col min="5" max="5" width="20.42578125" customWidth="1"/>
  </cols>
  <sheetData>
    <row r="1" spans="1:5" ht="20.25" x14ac:dyDescent="0.3">
      <c r="A1" s="243" t="s">
        <v>360</v>
      </c>
      <c r="B1" s="39"/>
      <c r="C1" s="35"/>
      <c r="D1" s="35"/>
      <c r="E1" s="35"/>
    </row>
    <row r="2" spans="1:5" ht="20.25" x14ac:dyDescent="0.3">
      <c r="A2" s="35"/>
      <c r="B2" s="35"/>
      <c r="C2" s="35"/>
      <c r="D2" s="35"/>
      <c r="E2" s="35"/>
    </row>
    <row r="3" spans="1:5" ht="20.25" x14ac:dyDescent="0.3">
      <c r="A3" s="66" t="s">
        <v>56</v>
      </c>
      <c r="B3" s="247" t="str">
        <f>'COMPREHENSIVE INCOME'!B3</f>
        <v/>
      </c>
      <c r="C3" s="35"/>
      <c r="D3" s="35"/>
      <c r="E3" s="35"/>
    </row>
    <row r="4" spans="1:5" ht="20.25" x14ac:dyDescent="0.3">
      <c r="A4" s="66" t="s">
        <v>55</v>
      </c>
      <c r="B4" s="248">
        <f>'COMPREHENSIVE INCOME'!B4</f>
        <v>0</v>
      </c>
      <c r="C4" s="35"/>
      <c r="D4" s="35"/>
      <c r="E4" s="35"/>
    </row>
    <row r="5" spans="1:5" ht="20.25" x14ac:dyDescent="0.3">
      <c r="A5" s="66" t="s">
        <v>54</v>
      </c>
      <c r="B5" s="249">
        <f>'COMPREHENSIVE INCOME'!B5</f>
        <v>0</v>
      </c>
      <c r="C5" s="35"/>
      <c r="D5" s="35"/>
      <c r="E5" s="35"/>
    </row>
    <row r="6" spans="1:5" ht="20.25" x14ac:dyDescent="0.3">
      <c r="A6" s="66" t="s">
        <v>53</v>
      </c>
      <c r="B6" s="249">
        <f>'COMPREHENSIVE INCOME'!B6</f>
        <v>0</v>
      </c>
      <c r="C6" s="35"/>
      <c r="D6" s="35"/>
      <c r="E6" s="35"/>
    </row>
    <row r="7" spans="1:5" ht="20.25" x14ac:dyDescent="0.3">
      <c r="A7" s="95"/>
      <c r="B7" s="95"/>
      <c r="C7" s="95"/>
      <c r="D7" s="119"/>
      <c r="E7" s="35"/>
    </row>
    <row r="8" spans="1:5" ht="20.25" x14ac:dyDescent="0.3">
      <c r="A8" s="118" t="s">
        <v>127</v>
      </c>
      <c r="B8" s="117"/>
      <c r="C8" s="117"/>
      <c r="D8" s="117"/>
      <c r="E8" s="117"/>
    </row>
    <row r="9" spans="1:5" ht="20.25" x14ac:dyDescent="0.3">
      <c r="A9" s="116" t="s">
        <v>126</v>
      </c>
      <c r="B9" s="115" t="s">
        <v>125</v>
      </c>
      <c r="C9" s="114" t="s">
        <v>124</v>
      </c>
      <c r="D9" s="114" t="s">
        <v>123</v>
      </c>
      <c r="E9" s="114" t="s">
        <v>122</v>
      </c>
    </row>
    <row r="10" spans="1:5" ht="20.25" x14ac:dyDescent="0.3">
      <c r="A10" s="113" t="s">
        <v>121</v>
      </c>
      <c r="B10" s="112">
        <f>SUM(B11:B30)</f>
        <v>0</v>
      </c>
      <c r="C10" s="112">
        <f>SUM(C11:C30)</f>
        <v>0</v>
      </c>
      <c r="D10" s="111"/>
      <c r="E10" s="111"/>
    </row>
    <row r="11" spans="1:5" ht="20.25" x14ac:dyDescent="0.3">
      <c r="A11" s="106"/>
      <c r="B11" s="110"/>
      <c r="C11" s="110"/>
      <c r="D11" s="109"/>
      <c r="E11" s="108"/>
    </row>
    <row r="12" spans="1:5" ht="20.25" x14ac:dyDescent="0.3">
      <c r="A12" s="106"/>
      <c r="B12" s="107"/>
      <c r="C12" s="110"/>
      <c r="D12" s="109"/>
      <c r="E12" s="108"/>
    </row>
    <row r="13" spans="1:5" ht="20.25" x14ac:dyDescent="0.3">
      <c r="A13" s="106"/>
      <c r="B13" s="107"/>
      <c r="C13" s="110"/>
      <c r="D13" s="109"/>
      <c r="E13" s="108"/>
    </row>
    <row r="14" spans="1:5" ht="20.25" x14ac:dyDescent="0.3">
      <c r="A14" s="106"/>
      <c r="B14" s="107"/>
      <c r="C14" s="110"/>
      <c r="D14" s="109"/>
      <c r="E14" s="108"/>
    </row>
    <row r="15" spans="1:5" ht="20.25" x14ac:dyDescent="0.3">
      <c r="A15" s="106"/>
      <c r="B15" s="107"/>
      <c r="C15" s="110"/>
      <c r="D15" s="109"/>
      <c r="E15" s="108"/>
    </row>
    <row r="16" spans="1:5" ht="20.25" x14ac:dyDescent="0.3">
      <c r="A16" s="106"/>
      <c r="B16" s="107"/>
      <c r="C16" s="107"/>
      <c r="D16" s="106"/>
      <c r="E16" s="105"/>
    </row>
    <row r="17" spans="1:5" ht="20.25" x14ac:dyDescent="0.3">
      <c r="A17" s="106"/>
      <c r="B17" s="107"/>
      <c r="C17" s="107"/>
      <c r="D17" s="106"/>
      <c r="E17" s="105"/>
    </row>
    <row r="18" spans="1:5" ht="20.25" x14ac:dyDescent="0.3">
      <c r="A18" s="106"/>
      <c r="B18" s="107"/>
      <c r="C18" s="107"/>
      <c r="D18" s="106"/>
      <c r="E18" s="105"/>
    </row>
    <row r="19" spans="1:5" ht="20.25" x14ac:dyDescent="0.3">
      <c r="A19" s="106"/>
      <c r="B19" s="107"/>
      <c r="C19" s="107"/>
      <c r="D19" s="106"/>
      <c r="E19" s="105"/>
    </row>
    <row r="20" spans="1:5" ht="20.25" x14ac:dyDescent="0.3">
      <c r="A20" s="106"/>
      <c r="B20" s="107"/>
      <c r="C20" s="107"/>
      <c r="D20" s="106"/>
      <c r="E20" s="105"/>
    </row>
    <row r="21" spans="1:5" ht="20.25" x14ac:dyDescent="0.3">
      <c r="A21" s="106"/>
      <c r="B21" s="107"/>
      <c r="C21" s="107"/>
      <c r="D21" s="106"/>
      <c r="E21" s="105"/>
    </row>
    <row r="22" spans="1:5" ht="20.25" x14ac:dyDescent="0.3">
      <c r="A22" s="106"/>
      <c r="B22" s="107"/>
      <c r="C22" s="107"/>
      <c r="D22" s="106"/>
      <c r="E22" s="105"/>
    </row>
    <row r="23" spans="1:5" ht="20.25" x14ac:dyDescent="0.3">
      <c r="A23" s="106"/>
      <c r="B23" s="107"/>
      <c r="C23" s="107"/>
      <c r="D23" s="106"/>
      <c r="E23" s="105"/>
    </row>
    <row r="24" spans="1:5" ht="20.25" x14ac:dyDescent="0.3">
      <c r="A24" s="106"/>
      <c r="B24" s="107"/>
      <c r="C24" s="107"/>
      <c r="D24" s="106"/>
      <c r="E24" s="105"/>
    </row>
    <row r="25" spans="1:5" ht="20.25" x14ac:dyDescent="0.3">
      <c r="A25" s="106"/>
      <c r="B25" s="107"/>
      <c r="C25" s="107"/>
      <c r="D25" s="106"/>
      <c r="E25" s="105"/>
    </row>
    <row r="26" spans="1:5" ht="20.25" x14ac:dyDescent="0.3">
      <c r="A26" s="106"/>
      <c r="B26" s="107"/>
      <c r="C26" s="107"/>
      <c r="D26" s="106"/>
      <c r="E26" s="105"/>
    </row>
    <row r="27" spans="1:5" ht="20.25" x14ac:dyDescent="0.3">
      <c r="A27" s="106"/>
      <c r="B27" s="107"/>
      <c r="C27" s="107"/>
      <c r="D27" s="106"/>
      <c r="E27" s="105"/>
    </row>
    <row r="28" spans="1:5" ht="20.25" x14ac:dyDescent="0.3">
      <c r="A28" s="106"/>
      <c r="B28" s="107"/>
      <c r="C28" s="107"/>
      <c r="D28" s="106"/>
      <c r="E28" s="105"/>
    </row>
    <row r="29" spans="1:5" ht="20.25" x14ac:dyDescent="0.3">
      <c r="A29" s="106"/>
      <c r="B29" s="107"/>
      <c r="C29" s="107"/>
      <c r="D29" s="106"/>
      <c r="E29" s="105"/>
    </row>
    <row r="30" spans="1:5" ht="21" thickBot="1" x14ac:dyDescent="0.35">
      <c r="A30" s="103"/>
      <c r="B30" s="104"/>
      <c r="C30" s="104"/>
      <c r="D30" s="103"/>
      <c r="E30" s="102"/>
    </row>
  </sheetData>
  <sheetProtection selectLockedCells="1"/>
  <pageMargins left="0.75" right="0.75" top="1" bottom="1" header="0.5" footer="0.5"/>
  <pageSetup scale="8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35"/>
  <sheetViews>
    <sheetView zoomScaleNormal="100" workbookViewId="0">
      <selection activeCell="B3" sqref="B3:B6"/>
    </sheetView>
  </sheetViews>
  <sheetFormatPr defaultRowHeight="12.75" x14ac:dyDescent="0.2"/>
  <cols>
    <col min="1" max="1" width="53.28515625" style="1" customWidth="1"/>
    <col min="2" max="2" width="41.85546875" style="1" bestFit="1" customWidth="1"/>
    <col min="3" max="3" width="23.28515625" style="120" bestFit="1" customWidth="1"/>
    <col min="4" max="4" width="23.7109375" style="1" customWidth="1"/>
    <col min="5" max="5" width="20.42578125" style="120" bestFit="1" customWidth="1"/>
    <col min="6" max="16384" width="9.140625" style="1"/>
  </cols>
  <sheetData>
    <row r="1" spans="1:5" s="30" customFormat="1" ht="20.25" x14ac:dyDescent="0.3">
      <c r="A1" s="241" t="s">
        <v>363</v>
      </c>
      <c r="B1" s="35"/>
      <c r="C1" s="138"/>
      <c r="D1" s="93"/>
      <c r="E1" s="136"/>
    </row>
    <row r="2" spans="1:5" s="30" customFormat="1" ht="20.25" x14ac:dyDescent="0.3">
      <c r="A2" s="93"/>
      <c r="B2" s="35"/>
      <c r="C2" s="138"/>
      <c r="D2" s="93"/>
      <c r="E2" s="136"/>
    </row>
    <row r="3" spans="1:5" s="30" customFormat="1" ht="20.25" x14ac:dyDescent="0.3">
      <c r="A3" s="66" t="s">
        <v>56</v>
      </c>
      <c r="B3" s="247" t="str">
        <f>'COMPREHENSIVE INCOME'!B3</f>
        <v/>
      </c>
      <c r="C3" s="138"/>
      <c r="D3" s="93"/>
      <c r="E3" s="136"/>
    </row>
    <row r="4" spans="1:5" s="30" customFormat="1" ht="20.25" x14ac:dyDescent="0.3">
      <c r="A4" s="66" t="s">
        <v>55</v>
      </c>
      <c r="B4" s="248">
        <f>'COMPREHENSIVE INCOME'!B4</f>
        <v>0</v>
      </c>
      <c r="C4" s="138"/>
      <c r="D4" s="93"/>
      <c r="E4" s="136"/>
    </row>
    <row r="5" spans="1:5" s="30" customFormat="1" ht="20.25" x14ac:dyDescent="0.3">
      <c r="A5" s="66" t="s">
        <v>54</v>
      </c>
      <c r="B5" s="249">
        <f>'COMPREHENSIVE INCOME'!B5</f>
        <v>0</v>
      </c>
      <c r="C5" s="138"/>
      <c r="D5" s="93"/>
      <c r="E5" s="136"/>
    </row>
    <row r="6" spans="1:5" s="30" customFormat="1" ht="20.25" x14ac:dyDescent="0.3">
      <c r="A6" s="66" t="s">
        <v>53</v>
      </c>
      <c r="B6" s="249">
        <f>'COMPREHENSIVE INCOME'!B6</f>
        <v>0</v>
      </c>
      <c r="C6" s="138"/>
      <c r="D6" s="93"/>
      <c r="E6" s="136"/>
    </row>
    <row r="7" spans="1:5" s="30" customFormat="1" ht="20.25" x14ac:dyDescent="0.3">
      <c r="A7" s="94"/>
      <c r="B7" s="95"/>
      <c r="C7" s="137"/>
      <c r="D7" s="93"/>
      <c r="E7" s="136"/>
    </row>
    <row r="8" spans="1:5" ht="20.25" x14ac:dyDescent="0.3">
      <c r="A8" s="271" t="s">
        <v>148</v>
      </c>
      <c r="B8" s="271"/>
      <c r="C8" s="271"/>
      <c r="D8" s="271"/>
      <c r="E8" s="271"/>
    </row>
    <row r="9" spans="1:5" ht="20.25" x14ac:dyDescent="0.2">
      <c r="A9" s="272" t="s">
        <v>147</v>
      </c>
      <c r="B9" s="273"/>
      <c r="C9" s="273"/>
      <c r="D9" s="273"/>
      <c r="E9" s="274"/>
    </row>
    <row r="10" spans="1:5" ht="40.5" customHeight="1" x14ac:dyDescent="0.2">
      <c r="A10" s="135"/>
      <c r="B10" s="275" t="s">
        <v>146</v>
      </c>
      <c r="C10" s="277" t="s">
        <v>145</v>
      </c>
      <c r="D10" s="275" t="s">
        <v>144</v>
      </c>
      <c r="E10" s="278" t="s">
        <v>143</v>
      </c>
    </row>
    <row r="11" spans="1:5" ht="20.25" x14ac:dyDescent="0.3">
      <c r="A11" s="134"/>
      <c r="B11" s="276"/>
      <c r="C11" s="277"/>
      <c r="D11" s="276"/>
      <c r="E11" s="279"/>
    </row>
    <row r="12" spans="1:5" ht="20.25" x14ac:dyDescent="0.3">
      <c r="A12" s="128" t="s">
        <v>142</v>
      </c>
      <c r="B12" s="126">
        <v>0</v>
      </c>
      <c r="C12" s="125">
        <f>SUM(C13:C15)</f>
        <v>0</v>
      </c>
      <c r="D12" s="129">
        <v>0.01</v>
      </c>
      <c r="E12" s="123">
        <f t="shared" ref="E12:E31" si="0">D12*C12</f>
        <v>0</v>
      </c>
    </row>
    <row r="13" spans="1:5" ht="20.25" x14ac:dyDescent="0.3">
      <c r="A13" s="132" t="s">
        <v>133</v>
      </c>
      <c r="B13" s="126"/>
      <c r="C13" s="130"/>
      <c r="D13" s="129">
        <v>0.01</v>
      </c>
      <c r="E13" s="123">
        <f t="shared" si="0"/>
        <v>0</v>
      </c>
    </row>
    <row r="14" spans="1:5" ht="20.25" x14ac:dyDescent="0.3">
      <c r="A14" s="132" t="s">
        <v>132</v>
      </c>
      <c r="B14" s="126"/>
      <c r="C14" s="130"/>
      <c r="D14" s="129">
        <v>0.01</v>
      </c>
      <c r="E14" s="123">
        <f t="shared" si="0"/>
        <v>0</v>
      </c>
    </row>
    <row r="15" spans="1:5" ht="20.25" x14ac:dyDescent="0.3">
      <c r="A15" s="131" t="s">
        <v>131</v>
      </c>
      <c r="B15" s="126"/>
      <c r="C15" s="130"/>
      <c r="D15" s="129">
        <v>0.01</v>
      </c>
      <c r="E15" s="123">
        <f t="shared" si="0"/>
        <v>0</v>
      </c>
    </row>
    <row r="16" spans="1:5" ht="20.25" x14ac:dyDescent="0.3">
      <c r="A16" s="128" t="s">
        <v>141</v>
      </c>
      <c r="B16" s="87" t="s">
        <v>140</v>
      </c>
      <c r="C16" s="125">
        <f>SUM(C17:C19)</f>
        <v>0</v>
      </c>
      <c r="D16" s="129">
        <v>0.2</v>
      </c>
      <c r="E16" s="123">
        <f t="shared" si="0"/>
        <v>0</v>
      </c>
    </row>
    <row r="17" spans="1:5" ht="20.25" x14ac:dyDescent="0.3">
      <c r="A17" s="132" t="s">
        <v>133</v>
      </c>
      <c r="B17" s="126"/>
      <c r="C17" s="130"/>
      <c r="D17" s="129">
        <v>0.2</v>
      </c>
      <c r="E17" s="123">
        <f t="shared" si="0"/>
        <v>0</v>
      </c>
    </row>
    <row r="18" spans="1:5" ht="20.25" x14ac:dyDescent="0.3">
      <c r="A18" s="132" t="s">
        <v>132</v>
      </c>
      <c r="B18" s="126"/>
      <c r="C18" s="130"/>
      <c r="D18" s="129">
        <v>0.2</v>
      </c>
      <c r="E18" s="123">
        <f t="shared" si="0"/>
        <v>0</v>
      </c>
    </row>
    <row r="19" spans="1:5" ht="20.25" x14ac:dyDescent="0.3">
      <c r="A19" s="131" t="s">
        <v>131</v>
      </c>
      <c r="B19" s="126"/>
      <c r="C19" s="130"/>
      <c r="D19" s="129">
        <v>0.2</v>
      </c>
      <c r="E19" s="123">
        <f t="shared" si="0"/>
        <v>0</v>
      </c>
    </row>
    <row r="20" spans="1:5" ht="20.25" x14ac:dyDescent="0.3">
      <c r="A20" s="133" t="s">
        <v>139</v>
      </c>
      <c r="B20" s="87" t="s">
        <v>138</v>
      </c>
      <c r="C20" s="125">
        <f>SUM(C21:C23)</f>
        <v>0</v>
      </c>
      <c r="D20" s="129">
        <v>0.5</v>
      </c>
      <c r="E20" s="123">
        <f t="shared" si="0"/>
        <v>0</v>
      </c>
    </row>
    <row r="21" spans="1:5" ht="20.25" x14ac:dyDescent="0.3">
      <c r="A21" s="132" t="s">
        <v>133</v>
      </c>
      <c r="B21" s="126"/>
      <c r="C21" s="130"/>
      <c r="D21" s="129">
        <v>0.5</v>
      </c>
      <c r="E21" s="123">
        <f t="shared" si="0"/>
        <v>0</v>
      </c>
    </row>
    <row r="22" spans="1:5" ht="20.25" x14ac:dyDescent="0.3">
      <c r="A22" s="132" t="s">
        <v>132</v>
      </c>
      <c r="B22" s="126"/>
      <c r="C22" s="130"/>
      <c r="D22" s="129">
        <v>0.5</v>
      </c>
      <c r="E22" s="123">
        <f t="shared" si="0"/>
        <v>0</v>
      </c>
    </row>
    <row r="23" spans="1:5" ht="20.25" x14ac:dyDescent="0.3">
      <c r="A23" s="131" t="s">
        <v>131</v>
      </c>
      <c r="B23" s="126"/>
      <c r="C23" s="130"/>
      <c r="D23" s="129">
        <v>0.5</v>
      </c>
      <c r="E23" s="123">
        <f t="shared" si="0"/>
        <v>0</v>
      </c>
    </row>
    <row r="24" spans="1:5" ht="20.25" x14ac:dyDescent="0.3">
      <c r="A24" s="133" t="s">
        <v>137</v>
      </c>
      <c r="B24" s="87" t="s">
        <v>136</v>
      </c>
      <c r="C24" s="125">
        <f>SUM(C25:C27)</f>
        <v>0</v>
      </c>
      <c r="D24" s="129">
        <v>0.75</v>
      </c>
      <c r="E24" s="123">
        <f t="shared" si="0"/>
        <v>0</v>
      </c>
    </row>
    <row r="25" spans="1:5" ht="20.25" x14ac:dyDescent="0.3">
      <c r="A25" s="132" t="s">
        <v>133</v>
      </c>
      <c r="B25" s="126"/>
      <c r="C25" s="130"/>
      <c r="D25" s="129">
        <v>0.75</v>
      </c>
      <c r="E25" s="123">
        <f t="shared" si="0"/>
        <v>0</v>
      </c>
    </row>
    <row r="26" spans="1:5" ht="20.25" x14ac:dyDescent="0.3">
      <c r="A26" s="132" t="s">
        <v>132</v>
      </c>
      <c r="B26" s="126"/>
      <c r="C26" s="130"/>
      <c r="D26" s="129">
        <v>0.75</v>
      </c>
      <c r="E26" s="123">
        <f t="shared" si="0"/>
        <v>0</v>
      </c>
    </row>
    <row r="27" spans="1:5" ht="20.25" x14ac:dyDescent="0.3">
      <c r="A27" s="131" t="s">
        <v>131</v>
      </c>
      <c r="B27" s="126"/>
      <c r="C27" s="130"/>
      <c r="D27" s="129">
        <v>0.75</v>
      </c>
      <c r="E27" s="123">
        <f t="shared" si="0"/>
        <v>0</v>
      </c>
    </row>
    <row r="28" spans="1:5" ht="20.25" x14ac:dyDescent="0.3">
      <c r="A28" s="133" t="s">
        <v>135</v>
      </c>
      <c r="B28" s="87" t="s">
        <v>134</v>
      </c>
      <c r="C28" s="125">
        <f>SUM(C29:C31)</f>
        <v>0</v>
      </c>
      <c r="D28" s="129">
        <v>1</v>
      </c>
      <c r="E28" s="123">
        <f t="shared" si="0"/>
        <v>0</v>
      </c>
    </row>
    <row r="29" spans="1:5" ht="20.25" x14ac:dyDescent="0.3">
      <c r="A29" s="132" t="s">
        <v>133</v>
      </c>
      <c r="B29" s="126"/>
      <c r="C29" s="130"/>
      <c r="D29" s="129">
        <v>1</v>
      </c>
      <c r="E29" s="123">
        <f t="shared" si="0"/>
        <v>0</v>
      </c>
    </row>
    <row r="30" spans="1:5" ht="20.25" x14ac:dyDescent="0.3">
      <c r="A30" s="132" t="s">
        <v>132</v>
      </c>
      <c r="B30" s="126"/>
      <c r="C30" s="130"/>
      <c r="D30" s="129">
        <v>1</v>
      </c>
      <c r="E30" s="123">
        <f t="shared" si="0"/>
        <v>0</v>
      </c>
    </row>
    <row r="31" spans="1:5" ht="20.25" x14ac:dyDescent="0.3">
      <c r="A31" s="131" t="s">
        <v>131</v>
      </c>
      <c r="B31" s="126"/>
      <c r="C31" s="130"/>
      <c r="D31" s="129">
        <v>1</v>
      </c>
      <c r="E31" s="123">
        <f t="shared" si="0"/>
        <v>0</v>
      </c>
    </row>
    <row r="32" spans="1:5" ht="20.25" x14ac:dyDescent="0.3">
      <c r="A32" s="128" t="s">
        <v>130</v>
      </c>
      <c r="B32" s="126"/>
      <c r="C32" s="125">
        <f>C28+C24+C20+C16+C12</f>
        <v>0</v>
      </c>
      <c r="D32" s="126"/>
      <c r="E32" s="123">
        <f>E33+E34</f>
        <v>0</v>
      </c>
    </row>
    <row r="33" spans="1:5" ht="20.25" x14ac:dyDescent="0.3">
      <c r="A33" s="127" t="s">
        <v>129</v>
      </c>
      <c r="B33" s="126"/>
      <c r="C33" s="125"/>
      <c r="D33" s="124"/>
      <c r="E33" s="123">
        <f>E20+E24+E28</f>
        <v>0</v>
      </c>
    </row>
    <row r="34" spans="1:5" ht="20.25" x14ac:dyDescent="0.3">
      <c r="A34" s="127" t="s">
        <v>128</v>
      </c>
      <c r="B34" s="126"/>
      <c r="C34" s="125"/>
      <c r="D34" s="124"/>
      <c r="E34" s="123">
        <f>E12+E16</f>
        <v>0</v>
      </c>
    </row>
    <row r="35" spans="1:5" ht="18" x14ac:dyDescent="0.25">
      <c r="A35" s="122"/>
      <c r="B35" s="122"/>
      <c r="C35" s="121"/>
      <c r="D35" s="122"/>
      <c r="E35" s="121"/>
    </row>
  </sheetData>
  <sheetProtection selectLockedCells="1"/>
  <mergeCells count="6">
    <mergeCell ref="A8:E8"/>
    <mergeCell ref="A9:E9"/>
    <mergeCell ref="B10:B11"/>
    <mergeCell ref="C10:C11"/>
    <mergeCell ref="D10:D11"/>
    <mergeCell ref="E10:E11"/>
  </mergeCells>
  <printOptions gridLines="1"/>
  <pageMargins left="0.75" right="0.75" top="1" bottom="1" header="0.5" footer="0.5"/>
  <pageSetup scale="76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F26"/>
  <sheetViews>
    <sheetView zoomScaleNormal="100" workbookViewId="0">
      <selection activeCell="B3" sqref="B3:B6"/>
    </sheetView>
  </sheetViews>
  <sheetFormatPr defaultRowHeight="12.75" x14ac:dyDescent="0.2"/>
  <cols>
    <col min="1" max="1" width="43.28515625" style="1" customWidth="1"/>
    <col min="2" max="2" width="31" style="1" customWidth="1"/>
    <col min="3" max="3" width="27.140625" style="1" customWidth="1"/>
    <col min="4" max="4" width="15.140625" style="1" customWidth="1"/>
    <col min="5" max="5" width="52.28515625" style="1" bestFit="1" customWidth="1"/>
    <col min="6" max="16384" width="9.140625" style="1"/>
  </cols>
  <sheetData>
    <row r="1" spans="1:6" s="30" customFormat="1" ht="20.25" x14ac:dyDescent="0.3">
      <c r="A1" s="241" t="s">
        <v>364</v>
      </c>
      <c r="B1" s="93"/>
      <c r="C1" s="93"/>
      <c r="D1" s="93"/>
      <c r="E1" s="93"/>
      <c r="F1" s="93"/>
    </row>
    <row r="2" spans="1:6" s="30" customFormat="1" ht="20.25" x14ac:dyDescent="0.3">
      <c r="A2" s="93"/>
      <c r="B2" s="93"/>
      <c r="C2" s="93"/>
      <c r="D2" s="93"/>
      <c r="E2" s="93"/>
      <c r="F2" s="93"/>
    </row>
    <row r="3" spans="1:6" s="30" customFormat="1" ht="20.25" x14ac:dyDescent="0.3">
      <c r="A3" s="66" t="s">
        <v>56</v>
      </c>
      <c r="B3" s="247" t="str">
        <f>'COMPREHENSIVE INCOME'!B3</f>
        <v/>
      </c>
      <c r="C3" s="100"/>
      <c r="D3" s="93"/>
      <c r="E3" s="93"/>
      <c r="F3" s="99"/>
    </row>
    <row r="4" spans="1:6" s="30" customFormat="1" ht="20.25" x14ac:dyDescent="0.3">
      <c r="A4" s="66" t="s">
        <v>55</v>
      </c>
      <c r="B4" s="248">
        <f>'COMPREHENSIVE INCOME'!B4</f>
        <v>0</v>
      </c>
      <c r="C4" s="98"/>
      <c r="D4" s="93"/>
      <c r="E4" s="93"/>
      <c r="F4" s="93"/>
    </row>
    <row r="5" spans="1:6" s="30" customFormat="1" ht="20.25" x14ac:dyDescent="0.3">
      <c r="A5" s="66" t="s">
        <v>54</v>
      </c>
      <c r="B5" s="249">
        <f>'COMPREHENSIVE INCOME'!B5</f>
        <v>0</v>
      </c>
      <c r="C5" s="96"/>
      <c r="D5" s="93"/>
      <c r="E5" s="93"/>
      <c r="F5" s="93"/>
    </row>
    <row r="6" spans="1:6" s="30" customFormat="1" ht="20.25" x14ac:dyDescent="0.3">
      <c r="A6" s="66" t="s">
        <v>53</v>
      </c>
      <c r="B6" s="249">
        <f>'COMPREHENSIVE INCOME'!B6</f>
        <v>0</v>
      </c>
      <c r="C6" s="96"/>
      <c r="D6" s="93"/>
      <c r="E6" s="93"/>
      <c r="F6" s="93"/>
    </row>
    <row r="7" spans="1:6" s="30" customFormat="1" ht="20.25" x14ac:dyDescent="0.3">
      <c r="A7" s="94"/>
      <c r="B7" s="94"/>
      <c r="C7" s="94"/>
      <c r="D7" s="144"/>
      <c r="E7" s="93"/>
      <c r="F7" s="93"/>
    </row>
    <row r="8" spans="1:6" ht="20.25" x14ac:dyDescent="0.3">
      <c r="A8" s="280" t="s">
        <v>167</v>
      </c>
      <c r="B8" s="280"/>
      <c r="C8" s="280"/>
      <c r="D8" s="280"/>
      <c r="E8" s="280"/>
      <c r="F8" s="93"/>
    </row>
    <row r="9" spans="1:6" ht="20.25" x14ac:dyDescent="0.3">
      <c r="A9" s="143" t="s">
        <v>166</v>
      </c>
      <c r="B9" s="141" t="s">
        <v>165</v>
      </c>
      <c r="C9" s="141" t="s">
        <v>164</v>
      </c>
      <c r="D9" s="141" t="s">
        <v>163</v>
      </c>
      <c r="E9" s="141" t="s">
        <v>162</v>
      </c>
      <c r="F9" s="93"/>
    </row>
    <row r="10" spans="1:6" ht="20.25" x14ac:dyDescent="0.3">
      <c r="A10" s="141" t="s">
        <v>112</v>
      </c>
      <c r="B10" s="140">
        <f>SUM(B11:B23)</f>
        <v>0</v>
      </c>
      <c r="C10" s="140">
        <f>SUM(C11:C23)</f>
        <v>0</v>
      </c>
      <c r="D10" s="140">
        <f>SUM(D11:D23)</f>
        <v>0</v>
      </c>
      <c r="E10" s="140" t="e">
        <f>SUM(E11:E23)</f>
        <v>#DIV/0!</v>
      </c>
      <c r="F10" s="93"/>
    </row>
    <row r="11" spans="1:6" ht="20.25" x14ac:dyDescent="0.3">
      <c r="A11" s="141" t="s">
        <v>161</v>
      </c>
      <c r="B11" s="78"/>
      <c r="C11" s="78"/>
      <c r="D11" s="78"/>
      <c r="E11" s="140" t="e">
        <f>D11/D10</f>
        <v>#DIV/0!</v>
      </c>
      <c r="F11" s="93"/>
    </row>
    <row r="12" spans="1:6" ht="20.25" x14ac:dyDescent="0.3">
      <c r="A12" s="141" t="s">
        <v>160</v>
      </c>
      <c r="B12" s="78"/>
      <c r="C12" s="78"/>
      <c r="D12" s="78"/>
      <c r="E12" s="142" t="e">
        <f>+D12/D10</f>
        <v>#DIV/0!</v>
      </c>
      <c r="F12" s="93"/>
    </row>
    <row r="13" spans="1:6" ht="20.25" x14ac:dyDescent="0.3">
      <c r="A13" s="141" t="s">
        <v>159</v>
      </c>
      <c r="B13" s="78"/>
      <c r="C13" s="78"/>
      <c r="D13" s="78"/>
      <c r="E13" s="140" t="e">
        <f>+D13/D10</f>
        <v>#DIV/0!</v>
      </c>
      <c r="F13" s="93"/>
    </row>
    <row r="14" spans="1:6" ht="20.25" x14ac:dyDescent="0.3">
      <c r="A14" s="141" t="s">
        <v>158</v>
      </c>
      <c r="B14" s="78"/>
      <c r="C14" s="78"/>
      <c r="D14" s="78"/>
      <c r="E14" s="140" t="e">
        <f>+D14/D10</f>
        <v>#DIV/0!</v>
      </c>
      <c r="F14" s="93"/>
    </row>
    <row r="15" spans="1:6" ht="20.25" x14ac:dyDescent="0.3">
      <c r="A15" s="141" t="s">
        <v>157</v>
      </c>
      <c r="B15" s="78"/>
      <c r="C15" s="78"/>
      <c r="D15" s="78"/>
      <c r="E15" s="140" t="e">
        <f>+D15/D10</f>
        <v>#DIV/0!</v>
      </c>
      <c r="F15" s="93"/>
    </row>
    <row r="16" spans="1:6" ht="20.25" x14ac:dyDescent="0.3">
      <c r="A16" s="141" t="s">
        <v>156</v>
      </c>
      <c r="B16" s="78"/>
      <c r="C16" s="78"/>
      <c r="D16" s="78"/>
      <c r="E16" s="140" t="e">
        <f>+D16/D10</f>
        <v>#DIV/0!</v>
      </c>
      <c r="F16" s="93"/>
    </row>
    <row r="17" spans="1:6" ht="20.25" x14ac:dyDescent="0.3">
      <c r="A17" s="141" t="s">
        <v>155</v>
      </c>
      <c r="B17" s="78"/>
      <c r="C17" s="78"/>
      <c r="D17" s="78"/>
      <c r="E17" s="140" t="e">
        <f>+D17/D10</f>
        <v>#DIV/0!</v>
      </c>
      <c r="F17" s="93"/>
    </row>
    <row r="18" spans="1:6" ht="20.25" x14ac:dyDescent="0.3">
      <c r="A18" s="141" t="s">
        <v>154</v>
      </c>
      <c r="B18" s="78"/>
      <c r="C18" s="78"/>
      <c r="D18" s="78"/>
      <c r="E18" s="140" t="e">
        <f>+D18/D10</f>
        <v>#DIV/0!</v>
      </c>
      <c r="F18" s="93"/>
    </row>
    <row r="19" spans="1:6" ht="20.25" x14ac:dyDescent="0.3">
      <c r="A19" s="141" t="s">
        <v>153</v>
      </c>
      <c r="B19" s="78"/>
      <c r="C19" s="78"/>
      <c r="D19" s="78"/>
      <c r="E19" s="140" t="e">
        <f>+D19/D10</f>
        <v>#DIV/0!</v>
      </c>
      <c r="F19" s="93"/>
    </row>
    <row r="20" spans="1:6" ht="20.25" x14ac:dyDescent="0.3">
      <c r="A20" s="141" t="s">
        <v>152</v>
      </c>
      <c r="B20" s="78"/>
      <c r="C20" s="78"/>
      <c r="D20" s="78"/>
      <c r="E20" s="140" t="e">
        <f>+D20/D10</f>
        <v>#DIV/0!</v>
      </c>
      <c r="F20" s="93"/>
    </row>
    <row r="21" spans="1:6" ht="20.25" x14ac:dyDescent="0.3">
      <c r="A21" s="141" t="s">
        <v>151</v>
      </c>
      <c r="B21" s="78"/>
      <c r="C21" s="78"/>
      <c r="D21" s="78"/>
      <c r="E21" s="140" t="e">
        <f>+D21/D10</f>
        <v>#DIV/0!</v>
      </c>
      <c r="F21" s="93"/>
    </row>
    <row r="22" spans="1:6" ht="20.25" x14ac:dyDescent="0.3">
      <c r="A22" s="141" t="s">
        <v>150</v>
      </c>
      <c r="B22" s="78"/>
      <c r="C22" s="78"/>
      <c r="D22" s="78"/>
      <c r="E22" s="140" t="e">
        <f>+D22/D11</f>
        <v>#DIV/0!</v>
      </c>
      <c r="F22" s="93"/>
    </row>
    <row r="23" spans="1:6" ht="20.25" x14ac:dyDescent="0.3">
      <c r="A23" s="141" t="s">
        <v>149</v>
      </c>
      <c r="B23" s="78"/>
      <c r="C23" s="78"/>
      <c r="D23" s="78"/>
      <c r="E23" s="140" t="e">
        <f>+D23/D10</f>
        <v>#DIV/0!</v>
      </c>
      <c r="F23" s="93"/>
    </row>
    <row r="24" spans="1:6" ht="20.25" x14ac:dyDescent="0.3">
      <c r="A24" s="139"/>
      <c r="B24" s="93"/>
      <c r="C24" s="93"/>
      <c r="D24" s="93"/>
      <c r="E24" s="93"/>
      <c r="F24" s="93"/>
    </row>
    <row r="25" spans="1:6" ht="20.25" x14ac:dyDescent="0.3">
      <c r="A25" s="93"/>
      <c r="B25" s="93"/>
      <c r="C25" s="93"/>
      <c r="D25" s="93"/>
      <c r="E25" s="93"/>
      <c r="F25" s="93"/>
    </row>
    <row r="26" spans="1:6" ht="20.25" x14ac:dyDescent="0.3">
      <c r="A26" s="93"/>
      <c r="B26" s="93"/>
      <c r="C26" s="93"/>
      <c r="D26" s="93"/>
      <c r="E26" s="93"/>
      <c r="F26" s="93"/>
    </row>
  </sheetData>
  <sheetProtection selectLockedCells="1"/>
  <mergeCells count="1">
    <mergeCell ref="A8:E8"/>
  </mergeCells>
  <printOptions gridLines="1"/>
  <pageMargins left="0.75" right="0.75" top="1" bottom="1" header="0.5" footer="0.5"/>
  <pageSetup scale="57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F26"/>
  <sheetViews>
    <sheetView zoomScale="75" zoomScaleNormal="75" workbookViewId="0">
      <selection activeCell="F4" sqref="F4"/>
    </sheetView>
  </sheetViews>
  <sheetFormatPr defaultRowHeight="12.75" x14ac:dyDescent="0.2"/>
  <cols>
    <col min="1" max="1" width="71.85546875" style="145" customWidth="1"/>
    <col min="2" max="2" width="28.140625" style="145" customWidth="1"/>
    <col min="3" max="3" width="30" style="145" customWidth="1"/>
    <col min="4" max="4" width="18.5703125" style="145" customWidth="1"/>
    <col min="5" max="5" width="52.28515625" style="145" bestFit="1" customWidth="1"/>
    <col min="6" max="16384" width="9.140625" style="145"/>
  </cols>
  <sheetData>
    <row r="1" spans="1:6" s="156" customFormat="1" ht="20.25" x14ac:dyDescent="0.3">
      <c r="A1" s="245" t="s">
        <v>366</v>
      </c>
      <c r="B1" s="146"/>
      <c r="C1" s="146"/>
      <c r="D1" s="146"/>
      <c r="E1" s="146"/>
      <c r="F1" s="146"/>
    </row>
    <row r="2" spans="1:6" s="156" customFormat="1" ht="20.25" x14ac:dyDescent="0.3">
      <c r="A2" s="146"/>
      <c r="B2" s="146"/>
      <c r="C2" s="146"/>
      <c r="D2" s="146"/>
      <c r="E2" s="146"/>
      <c r="F2" s="146"/>
    </row>
    <row r="3" spans="1:6" s="156" customFormat="1" ht="20.25" x14ac:dyDescent="0.3">
      <c r="A3" s="66" t="s">
        <v>56</v>
      </c>
      <c r="B3" s="247" t="str">
        <f>'COMPREHENSIVE INCOME'!B3</f>
        <v/>
      </c>
      <c r="C3" s="162"/>
      <c r="D3" s="146"/>
      <c r="E3" s="146"/>
      <c r="F3" s="161"/>
    </row>
    <row r="4" spans="1:6" s="156" customFormat="1" ht="20.25" x14ac:dyDescent="0.3">
      <c r="A4" s="66" t="s">
        <v>55</v>
      </c>
      <c r="B4" s="248">
        <f>'COMPREHENSIVE INCOME'!B4</f>
        <v>0</v>
      </c>
      <c r="C4" s="160"/>
      <c r="D4" s="146"/>
      <c r="E4" s="146"/>
      <c r="F4" s="146"/>
    </row>
    <row r="5" spans="1:6" s="156" customFormat="1" ht="20.25" x14ac:dyDescent="0.3">
      <c r="A5" s="66" t="s">
        <v>54</v>
      </c>
      <c r="B5" s="249">
        <f>'COMPREHENSIVE INCOME'!B5</f>
        <v>0</v>
      </c>
      <c r="C5" s="159"/>
      <c r="D5" s="146"/>
      <c r="E5" s="146"/>
      <c r="F5" s="146"/>
    </row>
    <row r="6" spans="1:6" s="156" customFormat="1" ht="20.25" x14ac:dyDescent="0.3">
      <c r="A6" s="66" t="s">
        <v>53</v>
      </c>
      <c r="B6" s="249">
        <f>'COMPREHENSIVE INCOME'!B6</f>
        <v>0</v>
      </c>
      <c r="C6" s="159"/>
      <c r="D6" s="146"/>
      <c r="E6" s="146"/>
      <c r="F6" s="146"/>
    </row>
    <row r="7" spans="1:6" s="156" customFormat="1" ht="20.25" x14ac:dyDescent="0.3">
      <c r="A7" s="158"/>
      <c r="B7" s="158"/>
      <c r="C7" s="158"/>
      <c r="D7" s="157"/>
      <c r="E7" s="146"/>
      <c r="F7" s="146"/>
    </row>
    <row r="8" spans="1:6" ht="20.25" x14ac:dyDescent="0.3">
      <c r="A8" s="281" t="s">
        <v>170</v>
      </c>
      <c r="B8" s="281"/>
      <c r="C8" s="281"/>
      <c r="D8" s="281"/>
      <c r="E8" s="281"/>
      <c r="F8" s="146"/>
    </row>
    <row r="9" spans="1:6" ht="40.5" x14ac:dyDescent="0.3">
      <c r="A9" s="155" t="s">
        <v>166</v>
      </c>
      <c r="B9" s="154" t="s">
        <v>169</v>
      </c>
      <c r="C9" s="153" t="s">
        <v>168</v>
      </c>
      <c r="D9" s="152" t="s">
        <v>163</v>
      </c>
      <c r="E9" s="152" t="s">
        <v>162</v>
      </c>
      <c r="F9" s="146"/>
    </row>
    <row r="10" spans="1:6" ht="20.25" x14ac:dyDescent="0.3">
      <c r="A10" s="152" t="s">
        <v>112</v>
      </c>
      <c r="B10" s="148">
        <f>SUM(B11:B23)</f>
        <v>0</v>
      </c>
      <c r="C10" s="148">
        <f>SUM(C11:C23)</f>
        <v>0</v>
      </c>
      <c r="D10" s="148">
        <f>SUM(D11:D23)</f>
        <v>0</v>
      </c>
      <c r="E10" s="148" t="e">
        <f>SUM(E11:E23)</f>
        <v>#DIV/0!</v>
      </c>
      <c r="F10" s="146"/>
    </row>
    <row r="11" spans="1:6" ht="20.25" x14ac:dyDescent="0.3">
      <c r="A11" s="150" t="s">
        <v>161</v>
      </c>
      <c r="B11" s="149"/>
      <c r="C11" s="149"/>
      <c r="D11" s="149"/>
      <c r="E11" s="148" t="e">
        <f>D11/D10</f>
        <v>#DIV/0!</v>
      </c>
      <c r="F11" s="146"/>
    </row>
    <row r="12" spans="1:6" ht="20.25" x14ac:dyDescent="0.3">
      <c r="A12" s="150" t="s">
        <v>160</v>
      </c>
      <c r="B12" s="149"/>
      <c r="C12" s="149"/>
      <c r="D12" s="149"/>
      <c r="E12" s="151" t="e">
        <f>+D12/D10</f>
        <v>#DIV/0!</v>
      </c>
      <c r="F12" s="146"/>
    </row>
    <row r="13" spans="1:6" ht="20.25" x14ac:dyDescent="0.3">
      <c r="A13" s="150" t="s">
        <v>159</v>
      </c>
      <c r="B13" s="149"/>
      <c r="C13" s="149"/>
      <c r="D13" s="149"/>
      <c r="E13" s="148" t="e">
        <f>+D13/D10</f>
        <v>#DIV/0!</v>
      </c>
      <c r="F13" s="146"/>
    </row>
    <row r="14" spans="1:6" ht="20.25" x14ac:dyDescent="0.3">
      <c r="A14" s="150" t="s">
        <v>158</v>
      </c>
      <c r="B14" s="149"/>
      <c r="C14" s="149"/>
      <c r="D14" s="149"/>
      <c r="E14" s="148" t="e">
        <f>+D14/D10</f>
        <v>#DIV/0!</v>
      </c>
      <c r="F14" s="146"/>
    </row>
    <row r="15" spans="1:6" ht="20.25" x14ac:dyDescent="0.3">
      <c r="A15" s="150" t="s">
        <v>157</v>
      </c>
      <c r="B15" s="149"/>
      <c r="C15" s="149"/>
      <c r="D15" s="149"/>
      <c r="E15" s="148" t="e">
        <f>+D15/D10</f>
        <v>#DIV/0!</v>
      </c>
      <c r="F15" s="146"/>
    </row>
    <row r="16" spans="1:6" ht="20.25" x14ac:dyDescent="0.3">
      <c r="A16" s="150" t="s">
        <v>156</v>
      </c>
      <c r="B16" s="149"/>
      <c r="C16" s="149"/>
      <c r="D16" s="149"/>
      <c r="E16" s="148" t="e">
        <f>+D16/D10</f>
        <v>#DIV/0!</v>
      </c>
      <c r="F16" s="146"/>
    </row>
    <row r="17" spans="1:6" ht="20.25" x14ac:dyDescent="0.3">
      <c r="A17" s="150" t="s">
        <v>155</v>
      </c>
      <c r="B17" s="149"/>
      <c r="C17" s="149"/>
      <c r="D17" s="149"/>
      <c r="E17" s="148" t="e">
        <f>+D17/D10</f>
        <v>#DIV/0!</v>
      </c>
      <c r="F17" s="146"/>
    </row>
    <row r="18" spans="1:6" ht="20.25" x14ac:dyDescent="0.3">
      <c r="A18" s="150" t="s">
        <v>154</v>
      </c>
      <c r="B18" s="149"/>
      <c r="C18" s="149"/>
      <c r="D18" s="149"/>
      <c r="E18" s="148" t="e">
        <f>+D18/D10</f>
        <v>#DIV/0!</v>
      </c>
      <c r="F18" s="146"/>
    </row>
    <row r="19" spans="1:6" ht="20.25" x14ac:dyDescent="0.3">
      <c r="A19" s="150" t="s">
        <v>153</v>
      </c>
      <c r="B19" s="149"/>
      <c r="C19" s="149"/>
      <c r="D19" s="149"/>
      <c r="E19" s="148" t="e">
        <f>+D19/D10</f>
        <v>#DIV/0!</v>
      </c>
      <c r="F19" s="146"/>
    </row>
    <row r="20" spans="1:6" ht="20.25" x14ac:dyDescent="0.3">
      <c r="A20" s="150" t="s">
        <v>152</v>
      </c>
      <c r="B20" s="149"/>
      <c r="C20" s="149"/>
      <c r="D20" s="149"/>
      <c r="E20" s="148" t="e">
        <f>+D20/D10</f>
        <v>#DIV/0!</v>
      </c>
      <c r="F20" s="146"/>
    </row>
    <row r="21" spans="1:6" ht="20.25" x14ac:dyDescent="0.3">
      <c r="A21" s="150" t="s">
        <v>151</v>
      </c>
      <c r="B21" s="149"/>
      <c r="C21" s="149"/>
      <c r="D21" s="149"/>
      <c r="E21" s="148" t="e">
        <f>+D21/D10</f>
        <v>#DIV/0!</v>
      </c>
      <c r="F21" s="146"/>
    </row>
    <row r="22" spans="1:6" ht="20.25" x14ac:dyDescent="0.3">
      <c r="A22" s="150" t="s">
        <v>150</v>
      </c>
      <c r="B22" s="149"/>
      <c r="C22" s="149"/>
      <c r="D22" s="149"/>
      <c r="E22" s="148" t="e">
        <f>+D22/D11</f>
        <v>#DIV/0!</v>
      </c>
      <c r="F22" s="146"/>
    </row>
    <row r="23" spans="1:6" ht="20.25" x14ac:dyDescent="0.3">
      <c r="A23" s="150" t="s">
        <v>149</v>
      </c>
      <c r="B23" s="149"/>
      <c r="C23" s="149"/>
      <c r="D23" s="149"/>
      <c r="E23" s="148" t="e">
        <f>+D23/D10</f>
        <v>#DIV/0!</v>
      </c>
      <c r="F23" s="146"/>
    </row>
    <row r="24" spans="1:6" ht="20.25" x14ac:dyDescent="0.3">
      <c r="A24" s="147"/>
      <c r="B24" s="146"/>
      <c r="C24" s="146"/>
      <c r="D24" s="146"/>
      <c r="E24" s="146"/>
      <c r="F24" s="146"/>
    </row>
    <row r="25" spans="1:6" ht="20.25" x14ac:dyDescent="0.3">
      <c r="A25" s="146"/>
      <c r="B25" s="146"/>
      <c r="C25" s="146"/>
      <c r="D25" s="146"/>
      <c r="E25" s="146"/>
      <c r="F25" s="146"/>
    </row>
    <row r="26" spans="1:6" ht="20.25" x14ac:dyDescent="0.3">
      <c r="A26" s="146"/>
      <c r="B26" s="146"/>
      <c r="C26" s="146"/>
      <c r="D26" s="146"/>
      <c r="E26" s="146"/>
      <c r="F26" s="146"/>
    </row>
  </sheetData>
  <sheetProtection selectLockedCells="1"/>
  <mergeCells count="1">
    <mergeCell ref="A8:E8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opLeftCell="B7" zoomScaleNormal="100" workbookViewId="0">
      <selection activeCell="E14" sqref="E14"/>
    </sheetView>
  </sheetViews>
  <sheetFormatPr defaultRowHeight="12.75" x14ac:dyDescent="0.2"/>
  <cols>
    <col min="1" max="1" width="50.140625" style="1" customWidth="1"/>
    <col min="2" max="2" width="30" style="1" bestFit="1" customWidth="1"/>
    <col min="3" max="3" width="69.5703125" style="1" bestFit="1" customWidth="1"/>
    <col min="4" max="4" width="36.85546875" style="1" bestFit="1" customWidth="1"/>
    <col min="5" max="5" width="36.28515625" style="1" bestFit="1" customWidth="1"/>
    <col min="6" max="16384" width="9.140625" style="1"/>
  </cols>
  <sheetData>
    <row r="1" spans="1:6" ht="23.25" x14ac:dyDescent="0.35">
      <c r="A1" s="286" t="s">
        <v>361</v>
      </c>
      <c r="B1" s="286"/>
      <c r="C1" s="93"/>
      <c r="D1" s="93"/>
      <c r="E1" s="93"/>
      <c r="F1" s="163"/>
    </row>
    <row r="2" spans="1:6" ht="23.25" x14ac:dyDescent="0.35">
      <c r="A2" s="93"/>
      <c r="B2" s="35"/>
      <c r="C2" s="35"/>
      <c r="D2" s="35"/>
      <c r="E2" s="93"/>
      <c r="F2" s="163"/>
    </row>
    <row r="3" spans="1:6" ht="23.25" x14ac:dyDescent="0.35">
      <c r="A3" s="66" t="s">
        <v>56</v>
      </c>
      <c r="B3" s="247" t="str">
        <f>'COMPREHENSIVE INCOME'!B3</f>
        <v/>
      </c>
      <c r="C3" s="35"/>
      <c r="D3" s="182"/>
      <c r="E3" s="93"/>
      <c r="F3" s="163"/>
    </row>
    <row r="4" spans="1:6" ht="23.25" x14ac:dyDescent="0.35">
      <c r="A4" s="66" t="s">
        <v>55</v>
      </c>
      <c r="B4" s="248">
        <f>'COMPREHENSIVE INCOME'!B4</f>
        <v>0</v>
      </c>
      <c r="C4" s="35"/>
      <c r="D4" s="35"/>
      <c r="E4" s="93"/>
      <c r="F4" s="163"/>
    </row>
    <row r="5" spans="1:6" ht="23.25" x14ac:dyDescent="0.35">
      <c r="A5" s="66" t="s">
        <v>54</v>
      </c>
      <c r="B5" s="249">
        <f>'COMPREHENSIVE INCOME'!B5</f>
        <v>0</v>
      </c>
      <c r="C5" s="35"/>
      <c r="D5" s="35"/>
      <c r="E5" s="93"/>
      <c r="F5" s="163"/>
    </row>
    <row r="6" spans="1:6" ht="23.25" x14ac:dyDescent="0.35">
      <c r="A6" s="66" t="s">
        <v>53</v>
      </c>
      <c r="B6" s="249">
        <f>'COMPREHENSIVE INCOME'!B6</f>
        <v>0</v>
      </c>
      <c r="C6" s="35"/>
      <c r="D6" s="35"/>
      <c r="E6" s="93"/>
      <c r="F6" s="163"/>
    </row>
    <row r="7" spans="1:6" ht="24" thickBot="1" x14ac:dyDescent="0.4">
      <c r="A7" s="94"/>
      <c r="B7" s="95"/>
      <c r="C7" s="35"/>
      <c r="D7" s="35"/>
      <c r="E7" s="93"/>
      <c r="F7" s="163"/>
    </row>
    <row r="8" spans="1:6" ht="24" thickBot="1" x14ac:dyDescent="0.4">
      <c r="A8" s="282" t="s">
        <v>184</v>
      </c>
      <c r="B8" s="284"/>
      <c r="C8" s="284"/>
      <c r="D8" s="284"/>
      <c r="E8" s="283"/>
      <c r="F8" s="163"/>
    </row>
    <row r="9" spans="1:6" ht="24" thickBot="1" x14ac:dyDescent="0.4">
      <c r="A9" s="282"/>
      <c r="B9" s="283"/>
      <c r="C9" s="282"/>
      <c r="D9" s="284"/>
      <c r="E9" s="283"/>
      <c r="F9" s="163"/>
    </row>
    <row r="10" spans="1:6" ht="24" thickBot="1" x14ac:dyDescent="0.4">
      <c r="A10" s="181"/>
      <c r="B10" s="180" t="s">
        <v>183</v>
      </c>
      <c r="C10" s="180" t="s">
        <v>182</v>
      </c>
      <c r="D10" s="179" t="s">
        <v>181</v>
      </c>
      <c r="E10" s="178" t="s">
        <v>180</v>
      </c>
      <c r="F10" s="163"/>
    </row>
    <row r="11" spans="1:6" ht="23.25" x14ac:dyDescent="0.35">
      <c r="A11" s="177" t="s">
        <v>179</v>
      </c>
      <c r="B11" s="176">
        <f>SUM(B15:B19)</f>
        <v>0</v>
      </c>
      <c r="C11" s="175">
        <f>SUM(C15:C19)</f>
        <v>0</v>
      </c>
      <c r="D11" s="148">
        <f t="shared" ref="D11:D19" si="0">B11-C11</f>
        <v>0</v>
      </c>
      <c r="E11" s="148">
        <f>D11</f>
        <v>0</v>
      </c>
      <c r="F11" s="163"/>
    </row>
    <row r="12" spans="1:6" ht="23.25" x14ac:dyDescent="0.35">
      <c r="A12" s="168" t="s">
        <v>178</v>
      </c>
      <c r="B12" s="171"/>
      <c r="C12" s="169"/>
      <c r="D12" s="148">
        <f t="shared" si="0"/>
        <v>0</v>
      </c>
      <c r="E12" s="148">
        <f>D12</f>
        <v>0</v>
      </c>
      <c r="F12" s="163"/>
    </row>
    <row r="13" spans="1:6" ht="23.25" x14ac:dyDescent="0.35">
      <c r="A13" s="168" t="s">
        <v>177</v>
      </c>
      <c r="B13" s="170"/>
      <c r="C13" s="169"/>
      <c r="D13" s="172">
        <f t="shared" si="0"/>
        <v>0</v>
      </c>
      <c r="E13" s="164">
        <f t="shared" ref="E13:E19" si="1">E12+D13</f>
        <v>0</v>
      </c>
      <c r="F13" s="163"/>
    </row>
    <row r="14" spans="1:6" ht="23.25" x14ac:dyDescent="0.35">
      <c r="A14" s="168" t="s">
        <v>176</v>
      </c>
      <c r="B14" s="170"/>
      <c r="C14" s="174"/>
      <c r="D14" s="172">
        <f t="shared" si="0"/>
        <v>0</v>
      </c>
      <c r="E14" s="164">
        <f t="shared" si="1"/>
        <v>0</v>
      </c>
      <c r="F14" s="163"/>
    </row>
    <row r="15" spans="1:6" ht="23.25" x14ac:dyDescent="0.35">
      <c r="A15" s="168" t="s">
        <v>175</v>
      </c>
      <c r="B15" s="174"/>
      <c r="C15" s="173"/>
      <c r="D15" s="172">
        <f t="shared" si="0"/>
        <v>0</v>
      </c>
      <c r="E15" s="164">
        <f t="shared" si="1"/>
        <v>0</v>
      </c>
      <c r="F15" s="163"/>
    </row>
    <row r="16" spans="1:6" ht="23.25" x14ac:dyDescent="0.35">
      <c r="A16" s="168" t="s">
        <v>174</v>
      </c>
      <c r="B16" s="171"/>
      <c r="C16" s="169"/>
      <c r="D16" s="148">
        <f t="shared" si="0"/>
        <v>0</v>
      </c>
      <c r="E16" s="164">
        <f t="shared" si="1"/>
        <v>0</v>
      </c>
      <c r="F16" s="163"/>
    </row>
    <row r="17" spans="1:6" ht="23.25" x14ac:dyDescent="0.35">
      <c r="A17" s="168" t="s">
        <v>173</v>
      </c>
      <c r="B17" s="171"/>
      <c r="C17" s="169"/>
      <c r="D17" s="148">
        <f t="shared" si="0"/>
        <v>0</v>
      </c>
      <c r="E17" s="164">
        <f t="shared" si="1"/>
        <v>0</v>
      </c>
      <c r="F17" s="163"/>
    </row>
    <row r="18" spans="1:6" ht="23.25" x14ac:dyDescent="0.35">
      <c r="A18" s="168" t="s">
        <v>172</v>
      </c>
      <c r="B18" s="170"/>
      <c r="C18" s="169"/>
      <c r="D18" s="148">
        <f t="shared" si="0"/>
        <v>0</v>
      </c>
      <c r="E18" s="164">
        <f t="shared" si="1"/>
        <v>0</v>
      </c>
      <c r="F18" s="163"/>
    </row>
    <row r="19" spans="1:6" ht="24" thickBot="1" x14ac:dyDescent="0.4">
      <c r="A19" s="168" t="s">
        <v>171</v>
      </c>
      <c r="B19" s="167"/>
      <c r="C19" s="166"/>
      <c r="D19" s="165">
        <f t="shared" si="0"/>
        <v>0</v>
      </c>
      <c r="E19" s="164">
        <f t="shared" si="1"/>
        <v>0</v>
      </c>
      <c r="F19" s="163"/>
    </row>
    <row r="20" spans="1:6" ht="23.25" x14ac:dyDescent="0.35">
      <c r="A20" s="285"/>
      <c r="B20" s="285"/>
      <c r="C20" s="285"/>
      <c r="D20" s="163"/>
      <c r="E20" s="163"/>
      <c r="F20" s="163"/>
    </row>
    <row r="21" spans="1:6" ht="23.25" x14ac:dyDescent="0.35">
      <c r="A21" s="163"/>
      <c r="B21" s="163"/>
      <c r="C21" s="163"/>
      <c r="D21" s="163"/>
      <c r="E21" s="163"/>
      <c r="F21" s="163"/>
    </row>
    <row r="22" spans="1:6" ht="23.25" x14ac:dyDescent="0.35">
      <c r="A22" s="163"/>
      <c r="B22" s="163"/>
      <c r="C22" s="163"/>
      <c r="D22" s="163"/>
      <c r="E22" s="163"/>
      <c r="F22" s="163"/>
    </row>
  </sheetData>
  <sheetProtection selectLockedCells="1"/>
  <mergeCells count="5">
    <mergeCell ref="A9:B9"/>
    <mergeCell ref="A8:E8"/>
    <mergeCell ref="C9:E9"/>
    <mergeCell ref="A20:C20"/>
    <mergeCell ref="A1:B1"/>
  </mergeCells>
  <printOptions gridLines="1"/>
  <pageMargins left="0.75" right="0.75" top="1" bottom="1" header="0.5" footer="0.5"/>
  <pageSetup scale="43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zoomScale="75" zoomScaleNormal="75" workbookViewId="0">
      <selection activeCell="E33" sqref="E33"/>
    </sheetView>
  </sheetViews>
  <sheetFormatPr defaultRowHeight="12.75" x14ac:dyDescent="0.2"/>
  <cols>
    <col min="1" max="1" width="42.5703125" style="30" customWidth="1"/>
    <col min="2" max="2" width="51.42578125" style="30" customWidth="1"/>
    <col min="3" max="3" width="44.140625" style="30" customWidth="1"/>
    <col min="4" max="4" width="30.85546875" style="30" bestFit="1" customWidth="1"/>
    <col min="5" max="5" width="36.140625" style="30" bestFit="1" customWidth="1"/>
    <col min="6" max="6" width="39" style="30" bestFit="1" customWidth="1"/>
    <col min="7" max="16384" width="9.140625" style="30"/>
  </cols>
  <sheetData>
    <row r="1" spans="1:8" ht="23.25" x14ac:dyDescent="0.35">
      <c r="A1" s="241" t="s">
        <v>357</v>
      </c>
      <c r="B1" s="39"/>
      <c r="C1" s="35"/>
      <c r="D1" s="93"/>
      <c r="E1" s="93"/>
      <c r="F1" s="93"/>
      <c r="G1" s="163"/>
      <c r="H1" s="163"/>
    </row>
    <row r="2" spans="1:8" ht="23.25" x14ac:dyDescent="0.35">
      <c r="A2" s="93"/>
      <c r="B2" s="35"/>
      <c r="C2" s="35"/>
      <c r="D2" s="93"/>
      <c r="E2" s="93"/>
      <c r="F2" s="93"/>
      <c r="G2" s="163"/>
      <c r="H2" s="163"/>
    </row>
    <row r="3" spans="1:8" ht="23.25" x14ac:dyDescent="0.35">
      <c r="A3" s="66" t="s">
        <v>56</v>
      </c>
      <c r="B3" s="247" t="str">
        <f>'COMPREHENSIVE INCOME'!B3</f>
        <v/>
      </c>
      <c r="C3" s="186"/>
      <c r="D3" s="93"/>
      <c r="E3" s="93"/>
      <c r="F3" s="99"/>
      <c r="G3" s="163"/>
      <c r="H3" s="163"/>
    </row>
    <row r="4" spans="1:8" ht="23.25" x14ac:dyDescent="0.35">
      <c r="A4" s="66" t="s">
        <v>55</v>
      </c>
      <c r="B4" s="248">
        <f>'COMPREHENSIVE INCOME'!B4</f>
        <v>0</v>
      </c>
      <c r="C4" s="185"/>
      <c r="D4" s="93"/>
      <c r="E4" s="93"/>
      <c r="F4" s="93"/>
      <c r="G4" s="163"/>
      <c r="H4" s="163"/>
    </row>
    <row r="5" spans="1:8" ht="23.25" x14ac:dyDescent="0.35">
      <c r="A5" s="66" t="s">
        <v>54</v>
      </c>
      <c r="B5" s="249">
        <f>'COMPREHENSIVE INCOME'!B5</f>
        <v>0</v>
      </c>
      <c r="C5" s="184"/>
      <c r="D5" s="93"/>
      <c r="E5" s="93"/>
      <c r="F5" s="93"/>
      <c r="G5" s="163"/>
      <c r="H5" s="163"/>
    </row>
    <row r="6" spans="1:8" ht="23.25" x14ac:dyDescent="0.35">
      <c r="A6" s="66" t="s">
        <v>53</v>
      </c>
      <c r="B6" s="249">
        <f>'COMPREHENSIVE INCOME'!B6</f>
        <v>0</v>
      </c>
      <c r="C6" s="184"/>
      <c r="D6" s="93"/>
      <c r="E6" s="93"/>
      <c r="F6" s="93"/>
      <c r="G6" s="163"/>
      <c r="H6" s="163"/>
    </row>
    <row r="7" spans="1:8" ht="23.25" x14ac:dyDescent="0.35">
      <c r="A7" s="97"/>
      <c r="B7" s="36"/>
      <c r="C7" s="184"/>
      <c r="D7" s="93"/>
      <c r="E7" s="93"/>
      <c r="F7" s="93"/>
      <c r="G7" s="163"/>
      <c r="H7" s="163"/>
    </row>
    <row r="8" spans="1:8" ht="23.25" x14ac:dyDescent="0.35">
      <c r="A8" s="127"/>
      <c r="B8" s="127"/>
      <c r="C8" s="271" t="s">
        <v>191</v>
      </c>
      <c r="D8" s="287"/>
      <c r="E8" s="124"/>
      <c r="F8" s="124"/>
      <c r="G8" s="163"/>
      <c r="H8" s="163"/>
    </row>
    <row r="9" spans="1:8" ht="23.25" x14ac:dyDescent="0.35">
      <c r="A9" s="87" t="s">
        <v>190</v>
      </c>
      <c r="B9" s="87" t="s">
        <v>189</v>
      </c>
      <c r="C9" s="87" t="s">
        <v>188</v>
      </c>
      <c r="D9" s="87" t="s">
        <v>187</v>
      </c>
      <c r="E9" s="87" t="s">
        <v>186</v>
      </c>
      <c r="F9" s="87" t="s">
        <v>185</v>
      </c>
      <c r="G9" s="163"/>
      <c r="H9" s="163"/>
    </row>
    <row r="10" spans="1:8" ht="23.25" x14ac:dyDescent="0.35">
      <c r="A10" s="250" t="s">
        <v>112</v>
      </c>
      <c r="B10" s="183">
        <f>SUM(B11:B30)</f>
        <v>0</v>
      </c>
      <c r="C10" s="183">
        <f>SUM(C11:C30)</f>
        <v>0</v>
      </c>
      <c r="D10" s="183"/>
      <c r="E10" s="183"/>
      <c r="F10" s="183">
        <f>SUM(F11:F30)</f>
        <v>0</v>
      </c>
      <c r="G10" s="163"/>
      <c r="H10" s="163"/>
    </row>
    <row r="11" spans="1:8" ht="23.25" x14ac:dyDescent="0.35">
      <c r="A11" s="251"/>
      <c r="B11" s="149"/>
      <c r="C11" s="149"/>
      <c r="D11" s="252"/>
      <c r="E11" s="251"/>
      <c r="F11" s="149"/>
      <c r="G11" s="163"/>
      <c r="H11" s="163"/>
    </row>
    <row r="12" spans="1:8" ht="23.25" x14ac:dyDescent="0.35">
      <c r="A12" s="251"/>
      <c r="B12" s="149"/>
      <c r="C12" s="149"/>
      <c r="D12" s="252"/>
      <c r="E12" s="251"/>
      <c r="F12" s="149"/>
      <c r="G12" s="163"/>
      <c r="H12" s="163"/>
    </row>
    <row r="13" spans="1:8" ht="23.25" x14ac:dyDescent="0.35">
      <c r="A13" s="251"/>
      <c r="B13" s="149"/>
      <c r="C13" s="149"/>
      <c r="D13" s="252"/>
      <c r="E13" s="251"/>
      <c r="F13" s="149"/>
      <c r="G13" s="163"/>
      <c r="H13" s="163"/>
    </row>
    <row r="14" spans="1:8" ht="23.25" x14ac:dyDescent="0.35">
      <c r="A14" s="251"/>
      <c r="B14" s="149"/>
      <c r="C14" s="149"/>
      <c r="D14" s="252"/>
      <c r="E14" s="251"/>
      <c r="F14" s="149"/>
      <c r="G14" s="163"/>
      <c r="H14" s="163"/>
    </row>
    <row r="15" spans="1:8" ht="23.25" x14ac:dyDescent="0.35">
      <c r="A15" s="251"/>
      <c r="B15" s="149"/>
      <c r="C15" s="149"/>
      <c r="D15" s="252"/>
      <c r="E15" s="251"/>
      <c r="F15" s="149"/>
      <c r="G15" s="163"/>
      <c r="H15" s="163"/>
    </row>
    <row r="16" spans="1:8" ht="23.25" x14ac:dyDescent="0.35">
      <c r="A16" s="251"/>
      <c r="B16" s="149"/>
      <c r="C16" s="149"/>
      <c r="D16" s="252"/>
      <c r="E16" s="251"/>
      <c r="F16" s="149"/>
      <c r="G16" s="163"/>
      <c r="H16" s="163"/>
    </row>
    <row r="17" spans="1:8" ht="23.25" x14ac:dyDescent="0.35">
      <c r="A17" s="251"/>
      <c r="B17" s="149"/>
      <c r="C17" s="149"/>
      <c r="D17" s="252"/>
      <c r="E17" s="251"/>
      <c r="F17" s="149"/>
      <c r="G17" s="163"/>
      <c r="H17" s="163"/>
    </row>
    <row r="18" spans="1:8" ht="23.25" x14ac:dyDescent="0.35">
      <c r="A18" s="251"/>
      <c r="B18" s="149"/>
      <c r="C18" s="149"/>
      <c r="D18" s="252"/>
      <c r="E18" s="251"/>
      <c r="F18" s="149"/>
      <c r="G18" s="163"/>
      <c r="H18" s="163"/>
    </row>
    <row r="19" spans="1:8" ht="23.25" x14ac:dyDescent="0.35">
      <c r="A19" s="251"/>
      <c r="B19" s="149"/>
      <c r="C19" s="149"/>
      <c r="D19" s="252"/>
      <c r="E19" s="251"/>
      <c r="F19" s="149"/>
      <c r="G19" s="163"/>
      <c r="H19" s="163"/>
    </row>
    <row r="20" spans="1:8" ht="23.25" x14ac:dyDescent="0.35">
      <c r="A20" s="251"/>
      <c r="B20" s="149"/>
      <c r="C20" s="149"/>
      <c r="D20" s="252"/>
      <c r="E20" s="251"/>
      <c r="F20" s="149"/>
      <c r="G20" s="163"/>
      <c r="H20" s="163"/>
    </row>
    <row r="21" spans="1:8" ht="23.25" x14ac:dyDescent="0.35">
      <c r="A21" s="251"/>
      <c r="B21" s="149"/>
      <c r="C21" s="149"/>
      <c r="D21" s="252"/>
      <c r="E21" s="251"/>
      <c r="F21" s="149"/>
      <c r="G21" s="163"/>
      <c r="H21" s="163"/>
    </row>
    <row r="22" spans="1:8" ht="23.25" x14ac:dyDescent="0.35">
      <c r="A22" s="251"/>
      <c r="B22" s="149"/>
      <c r="C22" s="149"/>
      <c r="D22" s="252"/>
      <c r="E22" s="251"/>
      <c r="F22" s="149"/>
      <c r="G22" s="163"/>
      <c r="H22" s="163"/>
    </row>
    <row r="23" spans="1:8" ht="23.25" x14ac:dyDescent="0.35">
      <c r="A23" s="251"/>
      <c r="B23" s="149"/>
      <c r="C23" s="149"/>
      <c r="D23" s="252"/>
      <c r="E23" s="251"/>
      <c r="F23" s="149"/>
      <c r="G23" s="163"/>
      <c r="H23" s="163"/>
    </row>
    <row r="24" spans="1:8" ht="23.25" x14ac:dyDescent="0.35">
      <c r="A24" s="251"/>
      <c r="B24" s="149"/>
      <c r="C24" s="149"/>
      <c r="D24" s="252"/>
      <c r="E24" s="251"/>
      <c r="F24" s="149"/>
      <c r="G24" s="163"/>
      <c r="H24" s="163"/>
    </row>
    <row r="25" spans="1:8" ht="23.25" x14ac:dyDescent="0.35">
      <c r="A25" s="251"/>
      <c r="B25" s="149"/>
      <c r="C25" s="149"/>
      <c r="D25" s="252"/>
      <c r="E25" s="251"/>
      <c r="F25" s="149"/>
      <c r="G25" s="163"/>
      <c r="H25" s="163"/>
    </row>
    <row r="26" spans="1:8" ht="23.25" x14ac:dyDescent="0.35">
      <c r="A26" s="251"/>
      <c r="B26" s="149"/>
      <c r="C26" s="149"/>
      <c r="D26" s="252"/>
      <c r="E26" s="251"/>
      <c r="F26" s="149"/>
      <c r="G26" s="163"/>
      <c r="H26" s="163"/>
    </row>
    <row r="27" spans="1:8" ht="23.25" x14ac:dyDescent="0.35">
      <c r="A27" s="251"/>
      <c r="B27" s="149"/>
      <c r="C27" s="149"/>
      <c r="D27" s="252"/>
      <c r="E27" s="251"/>
      <c r="F27" s="149"/>
      <c r="G27" s="163"/>
      <c r="H27" s="163"/>
    </row>
    <row r="28" spans="1:8" ht="23.25" x14ac:dyDescent="0.35">
      <c r="A28" s="251"/>
      <c r="B28" s="149"/>
      <c r="C28" s="149"/>
      <c r="D28" s="252"/>
      <c r="E28" s="251"/>
      <c r="F28" s="149"/>
      <c r="G28" s="163"/>
      <c r="H28" s="163"/>
    </row>
    <row r="29" spans="1:8" ht="23.25" x14ac:dyDescent="0.35">
      <c r="A29" s="251"/>
      <c r="B29" s="149"/>
      <c r="C29" s="149"/>
      <c r="D29" s="252"/>
      <c r="E29" s="251"/>
      <c r="F29" s="149"/>
      <c r="G29" s="163"/>
      <c r="H29" s="163"/>
    </row>
    <row r="30" spans="1:8" ht="23.25" x14ac:dyDescent="0.35">
      <c r="A30" s="251"/>
      <c r="B30" s="149"/>
      <c r="C30" s="149"/>
      <c r="D30" s="252"/>
      <c r="E30" s="251"/>
      <c r="F30" s="149"/>
      <c r="G30" s="163"/>
      <c r="H30" s="163"/>
    </row>
    <row r="31" spans="1:8" ht="23.25" x14ac:dyDescent="0.35">
      <c r="A31" s="288"/>
      <c r="B31" s="288"/>
      <c r="C31" s="163"/>
      <c r="D31" s="163"/>
      <c r="E31" s="163"/>
      <c r="F31" s="163"/>
      <c r="G31" s="163"/>
      <c r="H31" s="163"/>
    </row>
    <row r="32" spans="1:8" ht="23.25" x14ac:dyDescent="0.35">
      <c r="A32" s="163"/>
      <c r="B32" s="163"/>
      <c r="C32" s="163"/>
      <c r="D32" s="163"/>
      <c r="E32" s="163"/>
      <c r="F32" s="163"/>
      <c r="G32" s="163"/>
      <c r="H32" s="163"/>
    </row>
    <row r="33" spans="1:8" ht="23.25" x14ac:dyDescent="0.35">
      <c r="A33" s="163"/>
      <c r="B33" s="163"/>
      <c r="C33" s="163"/>
      <c r="D33" s="163"/>
      <c r="E33" s="163"/>
      <c r="F33" s="163"/>
      <c r="G33" s="163"/>
      <c r="H33" s="163"/>
    </row>
    <row r="34" spans="1:8" ht="23.25" x14ac:dyDescent="0.35">
      <c r="A34" s="163"/>
      <c r="B34" s="163"/>
      <c r="C34" s="163"/>
      <c r="D34" s="163"/>
      <c r="E34" s="163"/>
      <c r="F34" s="163"/>
      <c r="G34" s="163"/>
      <c r="H34" s="163"/>
    </row>
    <row r="35" spans="1:8" ht="23.25" x14ac:dyDescent="0.35">
      <c r="A35" s="163"/>
      <c r="B35" s="163"/>
      <c r="C35" s="163"/>
      <c r="D35" s="163"/>
      <c r="E35" s="163"/>
      <c r="F35" s="163"/>
      <c r="G35" s="163"/>
      <c r="H35" s="163"/>
    </row>
    <row r="36" spans="1:8" ht="23.25" x14ac:dyDescent="0.35">
      <c r="A36" s="163"/>
      <c r="B36" s="163"/>
      <c r="C36" s="163"/>
      <c r="D36" s="163"/>
      <c r="E36" s="163"/>
      <c r="F36" s="163"/>
      <c r="G36" s="163"/>
      <c r="H36" s="163"/>
    </row>
  </sheetData>
  <sheetProtection selectLockedCells="1"/>
  <mergeCells count="2">
    <mergeCell ref="C8:D8"/>
    <mergeCell ref="A31:B31"/>
  </mergeCells>
  <pageMargins left="0.75" right="0.75" top="1" bottom="1" header="0.5" footer="0.5"/>
  <pageSetup scale="49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topLeftCell="A70" zoomScale="95" zoomScaleNormal="95" workbookViewId="0">
      <selection activeCell="C82" sqref="C82"/>
    </sheetView>
  </sheetViews>
  <sheetFormatPr defaultRowHeight="12.75" x14ac:dyDescent="0.2"/>
  <cols>
    <col min="1" max="1" width="24.5703125" style="187" customWidth="1"/>
    <col min="2" max="2" width="49.28515625" style="188" bestFit="1" customWidth="1"/>
    <col min="3" max="3" width="17.5703125" style="187" customWidth="1"/>
    <col min="4" max="4" width="16" style="187" customWidth="1"/>
    <col min="5" max="5" width="16.5703125" style="187" customWidth="1"/>
    <col min="6" max="8" width="13.140625" style="187" customWidth="1"/>
    <col min="9" max="9" width="14" style="187" customWidth="1"/>
    <col min="10" max="14" width="16.140625" style="187" customWidth="1"/>
    <col min="15" max="15" width="12.28515625" style="187" bestFit="1" customWidth="1"/>
    <col min="16" max="16" width="14" style="187" bestFit="1" customWidth="1"/>
    <col min="17" max="17" width="20.28515625" style="187" bestFit="1" customWidth="1"/>
    <col min="18" max="18" width="26.85546875" style="187" bestFit="1" customWidth="1"/>
    <col min="19" max="19" width="19.42578125" style="187" bestFit="1" customWidth="1"/>
    <col min="20" max="20" width="18.140625" style="187" bestFit="1" customWidth="1"/>
    <col min="21" max="16384" width="9.140625" style="187"/>
  </cols>
  <sheetData>
    <row r="1" spans="1:20" ht="15.75" x14ac:dyDescent="0.25">
      <c r="A1" s="244" t="s">
        <v>296</v>
      </c>
      <c r="B1" s="218"/>
    </row>
    <row r="2" spans="1:20" ht="15" x14ac:dyDescent="0.2">
      <c r="A2" s="217"/>
      <c r="B2" s="213"/>
    </row>
    <row r="3" spans="1:20" ht="20.25" x14ac:dyDescent="0.3">
      <c r="A3" s="66" t="s">
        <v>56</v>
      </c>
      <c r="B3" s="247" t="str">
        <f>'COMPREHENSIVE INCOME'!B3</f>
        <v/>
      </c>
    </row>
    <row r="4" spans="1:20" ht="20.25" x14ac:dyDescent="0.3">
      <c r="A4" s="66" t="s">
        <v>55</v>
      </c>
      <c r="B4" s="248">
        <f>'COMPREHENSIVE INCOME'!B4</f>
        <v>0</v>
      </c>
    </row>
    <row r="5" spans="1:20" ht="20.25" x14ac:dyDescent="0.3">
      <c r="A5" s="66" t="s">
        <v>54</v>
      </c>
      <c r="B5" s="249">
        <f>'COMPREHENSIVE INCOME'!B5</f>
        <v>0</v>
      </c>
    </row>
    <row r="6" spans="1:20" ht="20.25" x14ac:dyDescent="0.3">
      <c r="A6" s="66" t="s">
        <v>53</v>
      </c>
      <c r="B6" s="249">
        <f>'COMPREHENSIVE INCOME'!B6</f>
        <v>0</v>
      </c>
    </row>
    <row r="7" spans="1:20" ht="15.75" x14ac:dyDescent="0.25">
      <c r="A7" s="216"/>
      <c r="B7" s="215"/>
    </row>
    <row r="8" spans="1:20" ht="15.75" x14ac:dyDescent="0.25">
      <c r="A8" s="214" t="s">
        <v>295</v>
      </c>
      <c r="B8" s="213"/>
      <c r="C8" s="295" t="s">
        <v>294</v>
      </c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7"/>
      <c r="O8" s="301" t="s">
        <v>293</v>
      </c>
      <c r="P8" s="301"/>
      <c r="Q8" s="301"/>
      <c r="R8" s="301"/>
      <c r="S8" s="301"/>
      <c r="T8" s="301"/>
    </row>
    <row r="9" spans="1:20" ht="13.5" thickBot="1" x14ac:dyDescent="0.25">
      <c r="C9" s="298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300"/>
      <c r="O9" s="301"/>
      <c r="P9" s="301"/>
      <c r="Q9" s="301"/>
      <c r="R9" s="301"/>
      <c r="S9" s="301"/>
      <c r="T9" s="301"/>
    </row>
    <row r="10" spans="1:20" s="206" customFormat="1" ht="45.75" thickBot="1" x14ac:dyDescent="0.25">
      <c r="A10" s="212" t="s">
        <v>292</v>
      </c>
      <c r="B10" s="211" t="s">
        <v>291</v>
      </c>
      <c r="C10" s="210" t="s">
        <v>290</v>
      </c>
      <c r="D10" s="210" t="s">
        <v>289</v>
      </c>
      <c r="E10" s="210" t="s">
        <v>288</v>
      </c>
      <c r="F10" s="210" t="s">
        <v>287</v>
      </c>
      <c r="G10" s="209" t="s">
        <v>286</v>
      </c>
      <c r="H10" s="208" t="s">
        <v>285</v>
      </c>
      <c r="I10" s="210" t="s">
        <v>284</v>
      </c>
      <c r="J10" s="210" t="s">
        <v>283</v>
      </c>
      <c r="K10" s="209" t="s">
        <v>282</v>
      </c>
      <c r="L10" s="208" t="s">
        <v>281</v>
      </c>
      <c r="M10" s="208" t="s">
        <v>280</v>
      </c>
      <c r="N10" s="208" t="s">
        <v>279</v>
      </c>
      <c r="O10" s="207" t="s">
        <v>278</v>
      </c>
      <c r="P10" s="207" t="s">
        <v>277</v>
      </c>
      <c r="Q10" s="207" t="s">
        <v>276</v>
      </c>
      <c r="R10" s="207" t="s">
        <v>275</v>
      </c>
      <c r="S10" s="207" t="s">
        <v>274</v>
      </c>
      <c r="T10" s="207" t="s">
        <v>273</v>
      </c>
    </row>
    <row r="11" spans="1:20" ht="78.75" x14ac:dyDescent="0.2">
      <c r="A11" s="205" t="s">
        <v>272</v>
      </c>
      <c r="B11" s="204" t="s">
        <v>271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4"/>
      <c r="P11" s="194"/>
      <c r="Q11" s="194"/>
      <c r="R11" s="194"/>
      <c r="S11" s="194"/>
      <c r="T11" s="194"/>
    </row>
    <row r="12" spans="1:20" ht="18.75" x14ac:dyDescent="0.2">
      <c r="A12" s="302" t="s">
        <v>270</v>
      </c>
      <c r="B12" s="203" t="s">
        <v>269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4"/>
      <c r="P12" s="194"/>
      <c r="Q12" s="194"/>
      <c r="R12" s="194"/>
      <c r="S12" s="194"/>
      <c r="T12" s="194"/>
    </row>
    <row r="13" spans="1:20" ht="18.75" x14ac:dyDescent="0.2">
      <c r="A13" s="302"/>
      <c r="B13" s="203" t="s">
        <v>268</v>
      </c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4"/>
      <c r="P13" s="194"/>
      <c r="Q13" s="194"/>
      <c r="R13" s="194"/>
      <c r="S13" s="194"/>
      <c r="T13" s="194"/>
    </row>
    <row r="14" spans="1:20" ht="18.75" x14ac:dyDescent="0.2">
      <c r="A14" s="302"/>
      <c r="B14" s="203" t="s">
        <v>267</v>
      </c>
      <c r="C14" s="190">
        <f t="shared" ref="C14:T14" si="0">C12+C13</f>
        <v>0</v>
      </c>
      <c r="D14" s="190">
        <f t="shared" si="0"/>
        <v>0</v>
      </c>
      <c r="E14" s="190">
        <f t="shared" si="0"/>
        <v>0</v>
      </c>
      <c r="F14" s="190">
        <f t="shared" si="0"/>
        <v>0</v>
      </c>
      <c r="G14" s="190">
        <f t="shared" si="0"/>
        <v>0</v>
      </c>
      <c r="H14" s="190">
        <f t="shared" si="0"/>
        <v>0</v>
      </c>
      <c r="I14" s="190">
        <f t="shared" si="0"/>
        <v>0</v>
      </c>
      <c r="J14" s="190">
        <f t="shared" si="0"/>
        <v>0</v>
      </c>
      <c r="K14" s="190">
        <f t="shared" si="0"/>
        <v>0</v>
      </c>
      <c r="L14" s="190">
        <f t="shared" si="0"/>
        <v>0</v>
      </c>
      <c r="M14" s="190">
        <f t="shared" si="0"/>
        <v>0</v>
      </c>
      <c r="N14" s="190">
        <f t="shared" si="0"/>
        <v>0</v>
      </c>
      <c r="O14" s="189">
        <f t="shared" si="0"/>
        <v>0</v>
      </c>
      <c r="P14" s="189">
        <f t="shared" si="0"/>
        <v>0</v>
      </c>
      <c r="Q14" s="189">
        <f t="shared" si="0"/>
        <v>0</v>
      </c>
      <c r="R14" s="189">
        <f t="shared" si="0"/>
        <v>0</v>
      </c>
      <c r="S14" s="189">
        <f t="shared" si="0"/>
        <v>0</v>
      </c>
      <c r="T14" s="189">
        <f t="shared" si="0"/>
        <v>0</v>
      </c>
    </row>
    <row r="15" spans="1:20" ht="18.75" x14ac:dyDescent="0.2">
      <c r="A15" s="303" t="s">
        <v>266</v>
      </c>
      <c r="B15" s="202" t="s">
        <v>265</v>
      </c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4"/>
      <c r="P15" s="194"/>
      <c r="Q15" s="194"/>
      <c r="R15" s="194"/>
      <c r="S15" s="194"/>
      <c r="T15" s="194"/>
    </row>
    <row r="16" spans="1:20" ht="18.75" x14ac:dyDescent="0.2">
      <c r="A16" s="303"/>
      <c r="B16" s="202" t="s">
        <v>264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4"/>
      <c r="P16" s="194"/>
      <c r="Q16" s="194"/>
      <c r="R16" s="194"/>
      <c r="S16" s="194"/>
      <c r="T16" s="194"/>
    </row>
    <row r="17" spans="1:20" ht="18.75" x14ac:dyDescent="0.2">
      <c r="A17" s="303"/>
      <c r="B17" s="202" t="s">
        <v>263</v>
      </c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4"/>
      <c r="P17" s="194"/>
      <c r="Q17" s="194"/>
      <c r="R17" s="194"/>
      <c r="S17" s="194"/>
      <c r="T17" s="194"/>
    </row>
    <row r="18" spans="1:20" ht="18.75" x14ac:dyDescent="0.2">
      <c r="A18" s="303"/>
      <c r="B18" s="202" t="s">
        <v>262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4"/>
      <c r="P18" s="194"/>
      <c r="Q18" s="194"/>
      <c r="R18" s="194"/>
      <c r="S18" s="194"/>
      <c r="T18" s="194"/>
    </row>
    <row r="19" spans="1:20" ht="18.75" x14ac:dyDescent="0.2">
      <c r="A19" s="303"/>
      <c r="B19" s="202" t="s">
        <v>261</v>
      </c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4"/>
      <c r="P19" s="194"/>
      <c r="Q19" s="194"/>
      <c r="R19" s="194"/>
      <c r="S19" s="194"/>
      <c r="T19" s="194"/>
    </row>
    <row r="20" spans="1:20" ht="18.75" x14ac:dyDescent="0.2">
      <c r="A20" s="303"/>
      <c r="B20" s="202" t="s">
        <v>260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4"/>
      <c r="P20" s="194"/>
      <c r="Q20" s="194"/>
      <c r="R20" s="194"/>
      <c r="S20" s="194"/>
      <c r="T20" s="194"/>
    </row>
    <row r="21" spans="1:20" ht="18.75" x14ac:dyDescent="0.2">
      <c r="A21" s="303"/>
      <c r="B21" s="202" t="s">
        <v>259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4"/>
      <c r="P21" s="194"/>
      <c r="Q21" s="194"/>
      <c r="R21" s="194"/>
      <c r="S21" s="194"/>
      <c r="T21" s="194"/>
    </row>
    <row r="22" spans="1:20" ht="18.75" x14ac:dyDescent="0.2">
      <c r="A22" s="303"/>
      <c r="B22" s="202" t="s">
        <v>258</v>
      </c>
      <c r="C22" s="190">
        <f t="shared" ref="C22:T22" si="1">SUM(C15:C21)</f>
        <v>0</v>
      </c>
      <c r="D22" s="190">
        <f t="shared" si="1"/>
        <v>0</v>
      </c>
      <c r="E22" s="190">
        <f t="shared" si="1"/>
        <v>0</v>
      </c>
      <c r="F22" s="190">
        <f t="shared" si="1"/>
        <v>0</v>
      </c>
      <c r="G22" s="190">
        <f t="shared" si="1"/>
        <v>0</v>
      </c>
      <c r="H22" s="190">
        <f t="shared" si="1"/>
        <v>0</v>
      </c>
      <c r="I22" s="190">
        <f t="shared" si="1"/>
        <v>0</v>
      </c>
      <c r="J22" s="190">
        <f t="shared" si="1"/>
        <v>0</v>
      </c>
      <c r="K22" s="190">
        <f t="shared" si="1"/>
        <v>0</v>
      </c>
      <c r="L22" s="190">
        <f t="shared" si="1"/>
        <v>0</v>
      </c>
      <c r="M22" s="190">
        <f t="shared" si="1"/>
        <v>0</v>
      </c>
      <c r="N22" s="190">
        <f t="shared" si="1"/>
        <v>0</v>
      </c>
      <c r="O22" s="189">
        <f t="shared" si="1"/>
        <v>0</v>
      </c>
      <c r="P22" s="189">
        <f t="shared" si="1"/>
        <v>0</v>
      </c>
      <c r="Q22" s="189">
        <f t="shared" si="1"/>
        <v>0</v>
      </c>
      <c r="R22" s="189">
        <f t="shared" si="1"/>
        <v>0</v>
      </c>
      <c r="S22" s="189">
        <f t="shared" si="1"/>
        <v>0</v>
      </c>
      <c r="T22" s="189">
        <f t="shared" si="1"/>
        <v>0</v>
      </c>
    </row>
    <row r="23" spans="1:20" ht="18.75" x14ac:dyDescent="0.2">
      <c r="A23" s="304" t="s">
        <v>257</v>
      </c>
      <c r="B23" s="201" t="s">
        <v>256</v>
      </c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4"/>
      <c r="P23" s="194"/>
      <c r="Q23" s="194"/>
      <c r="R23" s="194"/>
      <c r="S23" s="194"/>
      <c r="T23" s="194"/>
    </row>
    <row r="24" spans="1:20" ht="18.75" x14ac:dyDescent="0.2">
      <c r="A24" s="304"/>
      <c r="B24" s="201" t="s">
        <v>255</v>
      </c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4"/>
      <c r="P24" s="194"/>
      <c r="Q24" s="194"/>
      <c r="R24" s="194"/>
      <c r="S24" s="194"/>
      <c r="T24" s="194"/>
    </row>
    <row r="25" spans="1:20" ht="18.75" x14ac:dyDescent="0.2">
      <c r="A25" s="304"/>
      <c r="B25" s="201" t="s">
        <v>254</v>
      </c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4"/>
      <c r="P25" s="194"/>
      <c r="Q25" s="194"/>
      <c r="R25" s="194"/>
      <c r="S25" s="194"/>
      <c r="T25" s="194"/>
    </row>
    <row r="26" spans="1:20" ht="18.75" x14ac:dyDescent="0.2">
      <c r="A26" s="304"/>
      <c r="B26" s="201" t="s">
        <v>253</v>
      </c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4"/>
      <c r="P26" s="194"/>
      <c r="Q26" s="194"/>
      <c r="R26" s="194"/>
      <c r="S26" s="194"/>
      <c r="T26" s="194"/>
    </row>
    <row r="27" spans="1:20" ht="18.75" x14ac:dyDescent="0.2">
      <c r="A27" s="304"/>
      <c r="B27" s="201" t="s">
        <v>252</v>
      </c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4"/>
      <c r="P27" s="194"/>
      <c r="Q27" s="194"/>
      <c r="R27" s="194"/>
      <c r="S27" s="194"/>
      <c r="T27" s="194"/>
    </row>
    <row r="28" spans="1:20" ht="18.75" x14ac:dyDescent="0.2">
      <c r="A28" s="304"/>
      <c r="B28" s="201" t="s">
        <v>251</v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4"/>
      <c r="P28" s="194"/>
      <c r="Q28" s="194"/>
      <c r="R28" s="194"/>
      <c r="S28" s="194"/>
      <c r="T28" s="194"/>
    </row>
    <row r="29" spans="1:20" ht="18.75" x14ac:dyDescent="0.2">
      <c r="A29" s="304"/>
      <c r="B29" s="201" t="s">
        <v>250</v>
      </c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4"/>
      <c r="P29" s="194"/>
      <c r="Q29" s="194"/>
      <c r="R29" s="194"/>
      <c r="S29" s="194"/>
      <c r="T29" s="194"/>
    </row>
    <row r="30" spans="1:20" ht="18.75" x14ac:dyDescent="0.2">
      <c r="A30" s="304"/>
      <c r="B30" s="201" t="s">
        <v>249</v>
      </c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4"/>
      <c r="P30" s="194"/>
      <c r="Q30" s="194"/>
      <c r="R30" s="194"/>
      <c r="S30" s="194"/>
      <c r="T30" s="194"/>
    </row>
    <row r="31" spans="1:20" ht="18.75" x14ac:dyDescent="0.2">
      <c r="A31" s="304"/>
      <c r="B31" s="201" t="s">
        <v>248</v>
      </c>
      <c r="C31" s="190">
        <f t="shared" ref="C31:T31" si="2">SUM(C23:C30)</f>
        <v>0</v>
      </c>
      <c r="D31" s="190">
        <f t="shared" si="2"/>
        <v>0</v>
      </c>
      <c r="E31" s="190">
        <f t="shared" si="2"/>
        <v>0</v>
      </c>
      <c r="F31" s="190">
        <f t="shared" si="2"/>
        <v>0</v>
      </c>
      <c r="G31" s="190">
        <f t="shared" si="2"/>
        <v>0</v>
      </c>
      <c r="H31" s="190">
        <f t="shared" si="2"/>
        <v>0</v>
      </c>
      <c r="I31" s="190">
        <f t="shared" si="2"/>
        <v>0</v>
      </c>
      <c r="J31" s="190">
        <f t="shared" si="2"/>
        <v>0</v>
      </c>
      <c r="K31" s="190">
        <f t="shared" si="2"/>
        <v>0</v>
      </c>
      <c r="L31" s="190">
        <f t="shared" si="2"/>
        <v>0</v>
      </c>
      <c r="M31" s="190">
        <f t="shared" si="2"/>
        <v>0</v>
      </c>
      <c r="N31" s="190">
        <f t="shared" si="2"/>
        <v>0</v>
      </c>
      <c r="O31" s="189">
        <f t="shared" si="2"/>
        <v>0</v>
      </c>
      <c r="P31" s="189">
        <f t="shared" si="2"/>
        <v>0</v>
      </c>
      <c r="Q31" s="189">
        <f t="shared" si="2"/>
        <v>0</v>
      </c>
      <c r="R31" s="189">
        <f t="shared" si="2"/>
        <v>0</v>
      </c>
      <c r="S31" s="189">
        <f t="shared" si="2"/>
        <v>0</v>
      </c>
      <c r="T31" s="189">
        <f t="shared" si="2"/>
        <v>0</v>
      </c>
    </row>
    <row r="32" spans="1:20" ht="18.75" x14ac:dyDescent="0.2">
      <c r="A32" s="294" t="s">
        <v>247</v>
      </c>
      <c r="B32" s="200" t="s">
        <v>246</v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4"/>
      <c r="P32" s="194"/>
      <c r="Q32" s="194"/>
      <c r="R32" s="194"/>
      <c r="S32" s="194"/>
      <c r="T32" s="194"/>
    </row>
    <row r="33" spans="1:20" ht="18.75" x14ac:dyDescent="0.2">
      <c r="A33" s="294"/>
      <c r="B33" s="200" t="s">
        <v>245</v>
      </c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4"/>
      <c r="P33" s="194"/>
      <c r="Q33" s="194"/>
      <c r="R33" s="194"/>
      <c r="S33" s="194"/>
      <c r="T33" s="194"/>
    </row>
    <row r="34" spans="1:20" ht="18.75" x14ac:dyDescent="0.2">
      <c r="A34" s="294"/>
      <c r="B34" s="200" t="s">
        <v>244</v>
      </c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4"/>
      <c r="P34" s="194"/>
      <c r="Q34" s="194"/>
      <c r="R34" s="194"/>
      <c r="S34" s="194"/>
      <c r="T34" s="194"/>
    </row>
    <row r="35" spans="1:20" ht="18.75" x14ac:dyDescent="0.2">
      <c r="A35" s="294"/>
      <c r="B35" s="200" t="s">
        <v>243</v>
      </c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4"/>
      <c r="P35" s="194"/>
      <c r="Q35" s="194"/>
      <c r="R35" s="194"/>
      <c r="S35" s="194"/>
      <c r="T35" s="194"/>
    </row>
    <row r="36" spans="1:20" ht="18.75" x14ac:dyDescent="0.2">
      <c r="A36" s="294"/>
      <c r="B36" s="200" t="s">
        <v>242</v>
      </c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4"/>
      <c r="P36" s="194"/>
      <c r="Q36" s="194"/>
      <c r="R36" s="194"/>
      <c r="S36" s="194"/>
      <c r="T36" s="194"/>
    </row>
    <row r="37" spans="1:20" ht="18.75" x14ac:dyDescent="0.2">
      <c r="A37" s="294"/>
      <c r="B37" s="200" t="s">
        <v>241</v>
      </c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4"/>
      <c r="P37" s="194"/>
      <c r="Q37" s="194"/>
      <c r="R37" s="194"/>
      <c r="S37" s="194"/>
      <c r="T37" s="194"/>
    </row>
    <row r="38" spans="1:20" ht="18.75" x14ac:dyDescent="0.2">
      <c r="A38" s="294"/>
      <c r="B38" s="200" t="s">
        <v>240</v>
      </c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4"/>
      <c r="P38" s="194"/>
      <c r="Q38" s="194"/>
      <c r="R38" s="194"/>
      <c r="S38" s="194"/>
      <c r="T38" s="194"/>
    </row>
    <row r="39" spans="1:20" ht="18.75" x14ac:dyDescent="0.2">
      <c r="A39" s="294"/>
      <c r="B39" s="200" t="s">
        <v>239</v>
      </c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4"/>
      <c r="P39" s="194"/>
      <c r="Q39" s="194"/>
      <c r="R39" s="194"/>
      <c r="S39" s="194"/>
      <c r="T39" s="194"/>
    </row>
    <row r="40" spans="1:20" ht="18.75" x14ac:dyDescent="0.2">
      <c r="A40" s="294"/>
      <c r="B40" s="200" t="s">
        <v>238</v>
      </c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4"/>
      <c r="P40" s="194"/>
      <c r="Q40" s="194"/>
      <c r="R40" s="194"/>
      <c r="S40" s="194"/>
      <c r="T40" s="194"/>
    </row>
    <row r="41" spans="1:20" ht="18.75" x14ac:dyDescent="0.2">
      <c r="A41" s="294"/>
      <c r="B41" s="200" t="s">
        <v>237</v>
      </c>
      <c r="C41" s="190">
        <f t="shared" ref="C41:T41" si="3">SUM(C32:C40)</f>
        <v>0</v>
      </c>
      <c r="D41" s="190">
        <f t="shared" si="3"/>
        <v>0</v>
      </c>
      <c r="E41" s="190">
        <f t="shared" si="3"/>
        <v>0</v>
      </c>
      <c r="F41" s="190">
        <f t="shared" si="3"/>
        <v>0</v>
      </c>
      <c r="G41" s="190">
        <f t="shared" si="3"/>
        <v>0</v>
      </c>
      <c r="H41" s="190">
        <f t="shared" si="3"/>
        <v>0</v>
      </c>
      <c r="I41" s="190">
        <f t="shared" si="3"/>
        <v>0</v>
      </c>
      <c r="J41" s="190">
        <f t="shared" si="3"/>
        <v>0</v>
      </c>
      <c r="K41" s="190">
        <f t="shared" si="3"/>
        <v>0</v>
      </c>
      <c r="L41" s="190">
        <f t="shared" si="3"/>
        <v>0</v>
      </c>
      <c r="M41" s="190">
        <f t="shared" si="3"/>
        <v>0</v>
      </c>
      <c r="N41" s="190">
        <f t="shared" si="3"/>
        <v>0</v>
      </c>
      <c r="O41" s="189">
        <f t="shared" si="3"/>
        <v>0</v>
      </c>
      <c r="P41" s="189">
        <f t="shared" si="3"/>
        <v>0</v>
      </c>
      <c r="Q41" s="189">
        <f t="shared" si="3"/>
        <v>0</v>
      </c>
      <c r="R41" s="189">
        <f t="shared" si="3"/>
        <v>0</v>
      </c>
      <c r="S41" s="189">
        <f t="shared" si="3"/>
        <v>0</v>
      </c>
      <c r="T41" s="189">
        <f t="shared" si="3"/>
        <v>0</v>
      </c>
    </row>
    <row r="42" spans="1:20" ht="18.75" x14ac:dyDescent="0.2">
      <c r="A42" s="289" t="s">
        <v>236</v>
      </c>
      <c r="B42" s="199" t="s">
        <v>235</v>
      </c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4"/>
      <c r="P42" s="194"/>
      <c r="Q42" s="194"/>
      <c r="R42" s="194"/>
      <c r="S42" s="194"/>
      <c r="T42" s="194"/>
    </row>
    <row r="43" spans="1:20" ht="18.75" x14ac:dyDescent="0.2">
      <c r="A43" s="289"/>
      <c r="B43" s="199" t="s">
        <v>234</v>
      </c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4"/>
      <c r="P43" s="194"/>
      <c r="Q43" s="194"/>
      <c r="R43" s="194"/>
      <c r="S43" s="194"/>
      <c r="T43" s="194"/>
    </row>
    <row r="44" spans="1:20" ht="18.75" x14ac:dyDescent="0.2">
      <c r="A44" s="289"/>
      <c r="B44" s="199" t="s">
        <v>233</v>
      </c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4"/>
      <c r="P44" s="194"/>
      <c r="Q44" s="194"/>
      <c r="R44" s="194"/>
      <c r="S44" s="194"/>
      <c r="T44" s="194"/>
    </row>
    <row r="45" spans="1:20" ht="18.75" x14ac:dyDescent="0.2">
      <c r="A45" s="289"/>
      <c r="B45" s="199" t="s">
        <v>232</v>
      </c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4"/>
      <c r="P45" s="194"/>
      <c r="Q45" s="194"/>
      <c r="R45" s="194"/>
      <c r="S45" s="194"/>
      <c r="T45" s="194"/>
    </row>
    <row r="46" spans="1:20" ht="18.75" x14ac:dyDescent="0.2">
      <c r="A46" s="289"/>
      <c r="B46" s="199" t="s">
        <v>231</v>
      </c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4"/>
      <c r="P46" s="194"/>
      <c r="Q46" s="194"/>
      <c r="R46" s="194"/>
      <c r="S46" s="194"/>
      <c r="T46" s="194"/>
    </row>
    <row r="47" spans="1:20" ht="18.75" x14ac:dyDescent="0.2">
      <c r="A47" s="289"/>
      <c r="B47" s="199" t="s">
        <v>230</v>
      </c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4"/>
      <c r="P47" s="194"/>
      <c r="Q47" s="194"/>
      <c r="R47" s="194"/>
      <c r="S47" s="194"/>
      <c r="T47" s="194"/>
    </row>
    <row r="48" spans="1:20" ht="18.75" x14ac:dyDescent="0.2">
      <c r="A48" s="289"/>
      <c r="B48" s="199" t="s">
        <v>229</v>
      </c>
      <c r="C48" s="190">
        <f t="shared" ref="C48:T48" si="4">SUM(C42:C47)</f>
        <v>0</v>
      </c>
      <c r="D48" s="190">
        <f t="shared" si="4"/>
        <v>0</v>
      </c>
      <c r="E48" s="190">
        <f t="shared" si="4"/>
        <v>0</v>
      </c>
      <c r="F48" s="190">
        <f t="shared" si="4"/>
        <v>0</v>
      </c>
      <c r="G48" s="190">
        <f t="shared" si="4"/>
        <v>0</v>
      </c>
      <c r="H48" s="190">
        <f t="shared" si="4"/>
        <v>0</v>
      </c>
      <c r="I48" s="190">
        <f t="shared" si="4"/>
        <v>0</v>
      </c>
      <c r="J48" s="190">
        <f t="shared" si="4"/>
        <v>0</v>
      </c>
      <c r="K48" s="190">
        <f t="shared" si="4"/>
        <v>0</v>
      </c>
      <c r="L48" s="190">
        <f t="shared" si="4"/>
        <v>0</v>
      </c>
      <c r="M48" s="190">
        <f t="shared" si="4"/>
        <v>0</v>
      </c>
      <c r="N48" s="190">
        <f t="shared" si="4"/>
        <v>0</v>
      </c>
      <c r="O48" s="189">
        <f t="shared" si="4"/>
        <v>0</v>
      </c>
      <c r="P48" s="189">
        <f t="shared" si="4"/>
        <v>0</v>
      </c>
      <c r="Q48" s="189">
        <f t="shared" si="4"/>
        <v>0</v>
      </c>
      <c r="R48" s="189">
        <f t="shared" si="4"/>
        <v>0</v>
      </c>
      <c r="S48" s="189">
        <f t="shared" si="4"/>
        <v>0</v>
      </c>
      <c r="T48" s="189">
        <f t="shared" si="4"/>
        <v>0</v>
      </c>
    </row>
    <row r="49" spans="1:20" ht="18.75" x14ac:dyDescent="0.2">
      <c r="A49" s="290" t="s">
        <v>228</v>
      </c>
      <c r="B49" s="198" t="s">
        <v>227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4"/>
      <c r="P49" s="194"/>
      <c r="Q49" s="194"/>
      <c r="R49" s="194"/>
      <c r="S49" s="194"/>
      <c r="T49" s="194"/>
    </row>
    <row r="50" spans="1:20" ht="18.75" x14ac:dyDescent="0.2">
      <c r="A50" s="290"/>
      <c r="B50" s="198" t="s">
        <v>226</v>
      </c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4"/>
      <c r="P50" s="194"/>
      <c r="Q50" s="194"/>
      <c r="R50" s="194"/>
      <c r="S50" s="194"/>
      <c r="T50" s="194"/>
    </row>
    <row r="51" spans="1:20" ht="18.75" x14ac:dyDescent="0.2">
      <c r="A51" s="290"/>
      <c r="B51" s="198" t="s">
        <v>225</v>
      </c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4"/>
      <c r="P51" s="194"/>
      <c r="Q51" s="194"/>
      <c r="R51" s="194"/>
      <c r="S51" s="194"/>
      <c r="T51" s="194"/>
    </row>
    <row r="52" spans="1:20" ht="18.75" x14ac:dyDescent="0.2">
      <c r="A52" s="290"/>
      <c r="B52" s="198" t="s">
        <v>224</v>
      </c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4"/>
      <c r="P52" s="194"/>
      <c r="Q52" s="194"/>
      <c r="R52" s="194"/>
      <c r="S52" s="194"/>
      <c r="T52" s="194"/>
    </row>
    <row r="53" spans="1:20" ht="18.75" x14ac:dyDescent="0.2">
      <c r="A53" s="290"/>
      <c r="B53" s="198" t="s">
        <v>223</v>
      </c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4"/>
      <c r="P53" s="194"/>
      <c r="Q53" s="194"/>
      <c r="R53" s="194"/>
      <c r="S53" s="194"/>
      <c r="T53" s="194"/>
    </row>
    <row r="54" spans="1:20" ht="18.75" x14ac:dyDescent="0.2">
      <c r="A54" s="290"/>
      <c r="B54" s="198" t="s">
        <v>222</v>
      </c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4"/>
      <c r="P54" s="194"/>
      <c r="Q54" s="194"/>
      <c r="R54" s="194"/>
      <c r="S54" s="194"/>
      <c r="T54" s="194"/>
    </row>
    <row r="55" spans="1:20" ht="18.75" x14ac:dyDescent="0.2">
      <c r="A55" s="290"/>
      <c r="B55" s="198" t="s">
        <v>221</v>
      </c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4"/>
      <c r="P55" s="194"/>
      <c r="Q55" s="194"/>
      <c r="R55" s="194"/>
      <c r="S55" s="194"/>
      <c r="T55" s="194"/>
    </row>
    <row r="56" spans="1:20" ht="18.75" x14ac:dyDescent="0.2">
      <c r="A56" s="290"/>
      <c r="B56" s="198" t="s">
        <v>220</v>
      </c>
      <c r="C56" s="190">
        <f t="shared" ref="C56:T56" si="5">SUM(C49:C55)</f>
        <v>0</v>
      </c>
      <c r="D56" s="190">
        <f t="shared" si="5"/>
        <v>0</v>
      </c>
      <c r="E56" s="190">
        <f t="shared" si="5"/>
        <v>0</v>
      </c>
      <c r="F56" s="190">
        <f t="shared" si="5"/>
        <v>0</v>
      </c>
      <c r="G56" s="190">
        <f t="shared" si="5"/>
        <v>0</v>
      </c>
      <c r="H56" s="190">
        <f t="shared" si="5"/>
        <v>0</v>
      </c>
      <c r="I56" s="190">
        <f t="shared" si="5"/>
        <v>0</v>
      </c>
      <c r="J56" s="190">
        <f t="shared" si="5"/>
        <v>0</v>
      </c>
      <c r="K56" s="190">
        <f t="shared" si="5"/>
        <v>0</v>
      </c>
      <c r="L56" s="190">
        <f t="shared" si="5"/>
        <v>0</v>
      </c>
      <c r="M56" s="190">
        <f t="shared" si="5"/>
        <v>0</v>
      </c>
      <c r="N56" s="190">
        <f t="shared" si="5"/>
        <v>0</v>
      </c>
      <c r="O56" s="189">
        <f t="shared" si="5"/>
        <v>0</v>
      </c>
      <c r="P56" s="189">
        <f t="shared" si="5"/>
        <v>0</v>
      </c>
      <c r="Q56" s="189">
        <f t="shared" si="5"/>
        <v>0</v>
      </c>
      <c r="R56" s="189">
        <f t="shared" si="5"/>
        <v>0</v>
      </c>
      <c r="S56" s="189">
        <f t="shared" si="5"/>
        <v>0</v>
      </c>
      <c r="T56" s="189">
        <f t="shared" si="5"/>
        <v>0</v>
      </c>
    </row>
    <row r="57" spans="1:20" ht="18.75" x14ac:dyDescent="0.2">
      <c r="A57" s="291" t="s">
        <v>219</v>
      </c>
      <c r="B57" s="197" t="s">
        <v>218</v>
      </c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4"/>
      <c r="P57" s="194"/>
      <c r="Q57" s="194"/>
      <c r="R57" s="194"/>
      <c r="S57" s="194"/>
      <c r="T57" s="194"/>
    </row>
    <row r="58" spans="1:20" ht="18.75" x14ac:dyDescent="0.2">
      <c r="A58" s="291"/>
      <c r="B58" s="197" t="s">
        <v>217</v>
      </c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4"/>
      <c r="P58" s="194"/>
      <c r="Q58" s="194"/>
      <c r="R58" s="194"/>
      <c r="S58" s="194"/>
      <c r="T58" s="194"/>
    </row>
    <row r="59" spans="1:20" ht="18.75" x14ac:dyDescent="0.2">
      <c r="A59" s="291"/>
      <c r="B59" s="197" t="s">
        <v>216</v>
      </c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4"/>
      <c r="P59" s="194"/>
      <c r="Q59" s="194"/>
      <c r="R59" s="194"/>
      <c r="S59" s="194"/>
      <c r="T59" s="194"/>
    </row>
    <row r="60" spans="1:20" ht="18.75" x14ac:dyDescent="0.2">
      <c r="A60" s="291"/>
      <c r="B60" s="197" t="s">
        <v>215</v>
      </c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4"/>
      <c r="P60" s="194"/>
      <c r="Q60" s="194"/>
      <c r="R60" s="194"/>
      <c r="S60" s="194"/>
      <c r="T60" s="194"/>
    </row>
    <row r="61" spans="1:20" ht="18.75" x14ac:dyDescent="0.2">
      <c r="A61" s="291"/>
      <c r="B61" s="197" t="s">
        <v>214</v>
      </c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4"/>
      <c r="P61" s="194"/>
      <c r="Q61" s="194"/>
      <c r="R61" s="194"/>
      <c r="S61" s="194"/>
      <c r="T61" s="194"/>
    </row>
    <row r="62" spans="1:20" ht="18.75" x14ac:dyDescent="0.2">
      <c r="A62" s="291"/>
      <c r="B62" s="197" t="s">
        <v>213</v>
      </c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4"/>
      <c r="P62" s="194"/>
      <c r="Q62" s="194"/>
      <c r="R62" s="194"/>
      <c r="S62" s="194"/>
      <c r="T62" s="194"/>
    </row>
    <row r="63" spans="1:20" ht="18.75" x14ac:dyDescent="0.2">
      <c r="A63" s="291"/>
      <c r="B63" s="197" t="s">
        <v>212</v>
      </c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4"/>
      <c r="P63" s="194"/>
      <c r="Q63" s="194"/>
      <c r="R63" s="194"/>
      <c r="S63" s="194"/>
      <c r="T63" s="194"/>
    </row>
    <row r="64" spans="1:20" ht="18.75" x14ac:dyDescent="0.2">
      <c r="A64" s="291"/>
      <c r="B64" s="197" t="s">
        <v>211</v>
      </c>
      <c r="C64" s="190">
        <f t="shared" ref="C64:T64" si="6">SUM(C57:C63)</f>
        <v>0</v>
      </c>
      <c r="D64" s="190">
        <f t="shared" si="6"/>
        <v>0</v>
      </c>
      <c r="E64" s="190">
        <f t="shared" si="6"/>
        <v>0</v>
      </c>
      <c r="F64" s="190">
        <f t="shared" si="6"/>
        <v>0</v>
      </c>
      <c r="G64" s="190">
        <f t="shared" si="6"/>
        <v>0</v>
      </c>
      <c r="H64" s="190">
        <f t="shared" si="6"/>
        <v>0</v>
      </c>
      <c r="I64" s="190">
        <f t="shared" si="6"/>
        <v>0</v>
      </c>
      <c r="J64" s="190">
        <f t="shared" si="6"/>
        <v>0</v>
      </c>
      <c r="K64" s="190">
        <f t="shared" si="6"/>
        <v>0</v>
      </c>
      <c r="L64" s="190">
        <f t="shared" si="6"/>
        <v>0</v>
      </c>
      <c r="M64" s="190">
        <f t="shared" si="6"/>
        <v>0</v>
      </c>
      <c r="N64" s="190">
        <f t="shared" si="6"/>
        <v>0</v>
      </c>
      <c r="O64" s="189">
        <f t="shared" si="6"/>
        <v>0</v>
      </c>
      <c r="P64" s="189">
        <f t="shared" si="6"/>
        <v>0</v>
      </c>
      <c r="Q64" s="189">
        <f t="shared" si="6"/>
        <v>0</v>
      </c>
      <c r="R64" s="189">
        <f t="shared" si="6"/>
        <v>0</v>
      </c>
      <c r="S64" s="189">
        <f t="shared" si="6"/>
        <v>0</v>
      </c>
      <c r="T64" s="189">
        <f t="shared" si="6"/>
        <v>0</v>
      </c>
    </row>
    <row r="65" spans="1:20" ht="18.75" x14ac:dyDescent="0.2">
      <c r="A65" s="292" t="s">
        <v>210</v>
      </c>
      <c r="B65" s="196" t="s">
        <v>209</v>
      </c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4"/>
      <c r="P65" s="194"/>
      <c r="Q65" s="194"/>
      <c r="R65" s="194"/>
      <c r="S65" s="194"/>
      <c r="T65" s="194"/>
    </row>
    <row r="66" spans="1:20" ht="18.75" x14ac:dyDescent="0.2">
      <c r="A66" s="292"/>
      <c r="B66" s="196" t="s">
        <v>208</v>
      </c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4"/>
      <c r="P66" s="194"/>
      <c r="Q66" s="194"/>
      <c r="R66" s="194"/>
      <c r="S66" s="194"/>
      <c r="T66" s="194"/>
    </row>
    <row r="67" spans="1:20" ht="18.75" x14ac:dyDescent="0.2">
      <c r="A67" s="292"/>
      <c r="B67" s="196" t="s">
        <v>207</v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4"/>
      <c r="P67" s="194"/>
      <c r="Q67" s="194"/>
      <c r="R67" s="194"/>
      <c r="S67" s="194"/>
      <c r="T67" s="194"/>
    </row>
    <row r="68" spans="1:20" ht="18.75" x14ac:dyDescent="0.2">
      <c r="A68" s="292"/>
      <c r="B68" s="196" t="s">
        <v>204</v>
      </c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4"/>
      <c r="P68" s="194"/>
      <c r="Q68" s="194"/>
      <c r="R68" s="194"/>
      <c r="S68" s="194"/>
      <c r="T68" s="194"/>
    </row>
    <row r="69" spans="1:20" ht="18.75" x14ac:dyDescent="0.2">
      <c r="A69" s="292"/>
      <c r="B69" s="196" t="s">
        <v>206</v>
      </c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4"/>
      <c r="P69" s="194"/>
      <c r="Q69" s="194"/>
      <c r="R69" s="194"/>
      <c r="S69" s="194"/>
      <c r="T69" s="194"/>
    </row>
    <row r="70" spans="1:20" ht="18.75" x14ac:dyDescent="0.2">
      <c r="A70" s="292"/>
      <c r="B70" s="196" t="s">
        <v>205</v>
      </c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4"/>
      <c r="P70" s="194"/>
      <c r="Q70" s="194"/>
      <c r="R70" s="194"/>
      <c r="S70" s="194"/>
      <c r="T70" s="194"/>
    </row>
    <row r="71" spans="1:20" ht="18.75" x14ac:dyDescent="0.2">
      <c r="A71" s="292"/>
      <c r="B71" s="196" t="s">
        <v>204</v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4"/>
      <c r="P71" s="194"/>
      <c r="Q71" s="194"/>
      <c r="R71" s="194"/>
      <c r="S71" s="194"/>
      <c r="T71" s="194"/>
    </row>
    <row r="72" spans="1:20" ht="18.75" x14ac:dyDescent="0.2">
      <c r="A72" s="292"/>
      <c r="B72" s="196" t="s">
        <v>203</v>
      </c>
      <c r="C72" s="190">
        <f t="shared" ref="C72:T72" si="7">SUM(C65:C71)</f>
        <v>0</v>
      </c>
      <c r="D72" s="190">
        <f t="shared" si="7"/>
        <v>0</v>
      </c>
      <c r="E72" s="190">
        <f t="shared" si="7"/>
        <v>0</v>
      </c>
      <c r="F72" s="190">
        <f t="shared" si="7"/>
        <v>0</v>
      </c>
      <c r="G72" s="190">
        <f t="shared" si="7"/>
        <v>0</v>
      </c>
      <c r="H72" s="190">
        <f t="shared" si="7"/>
        <v>0</v>
      </c>
      <c r="I72" s="190">
        <f t="shared" si="7"/>
        <v>0</v>
      </c>
      <c r="J72" s="190">
        <f t="shared" si="7"/>
        <v>0</v>
      </c>
      <c r="K72" s="190">
        <f t="shared" si="7"/>
        <v>0</v>
      </c>
      <c r="L72" s="190">
        <f t="shared" si="7"/>
        <v>0</v>
      </c>
      <c r="M72" s="190">
        <f t="shared" si="7"/>
        <v>0</v>
      </c>
      <c r="N72" s="190">
        <f t="shared" si="7"/>
        <v>0</v>
      </c>
      <c r="O72" s="189">
        <f t="shared" si="7"/>
        <v>0</v>
      </c>
      <c r="P72" s="189">
        <f t="shared" si="7"/>
        <v>0</v>
      </c>
      <c r="Q72" s="189">
        <f t="shared" si="7"/>
        <v>0</v>
      </c>
      <c r="R72" s="189">
        <f t="shared" si="7"/>
        <v>0</v>
      </c>
      <c r="S72" s="189">
        <f t="shared" si="7"/>
        <v>0</v>
      </c>
      <c r="T72" s="189">
        <f t="shared" si="7"/>
        <v>0</v>
      </c>
    </row>
    <row r="73" spans="1:20" ht="18.75" x14ac:dyDescent="0.2">
      <c r="A73" s="293" t="s">
        <v>202</v>
      </c>
      <c r="B73" s="193" t="s">
        <v>201</v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4"/>
      <c r="P73" s="194"/>
      <c r="Q73" s="194"/>
      <c r="R73" s="194"/>
      <c r="S73" s="194"/>
      <c r="T73" s="194"/>
    </row>
    <row r="74" spans="1:20" ht="18.75" x14ac:dyDescent="0.2">
      <c r="A74" s="293"/>
      <c r="B74" s="193" t="s">
        <v>200</v>
      </c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4"/>
      <c r="P74" s="194"/>
      <c r="Q74" s="194"/>
      <c r="R74" s="194"/>
      <c r="S74" s="194"/>
      <c r="T74" s="194"/>
    </row>
    <row r="75" spans="1:20" ht="18.75" x14ac:dyDescent="0.2">
      <c r="A75" s="293"/>
      <c r="B75" s="193" t="s">
        <v>199</v>
      </c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4"/>
      <c r="P75" s="194"/>
      <c r="Q75" s="194"/>
      <c r="R75" s="194"/>
      <c r="S75" s="194"/>
      <c r="T75" s="194"/>
    </row>
    <row r="76" spans="1:20" ht="18.75" x14ac:dyDescent="0.2">
      <c r="A76" s="293"/>
      <c r="B76" s="193" t="s">
        <v>198</v>
      </c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4"/>
      <c r="P76" s="194"/>
      <c r="Q76" s="194"/>
      <c r="R76" s="194"/>
      <c r="S76" s="194"/>
      <c r="T76" s="194"/>
    </row>
    <row r="77" spans="1:20" ht="18.75" x14ac:dyDescent="0.2">
      <c r="A77" s="293"/>
      <c r="B77" s="193" t="s">
        <v>197</v>
      </c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4"/>
      <c r="P77" s="194"/>
      <c r="Q77" s="194"/>
      <c r="R77" s="194"/>
      <c r="S77" s="194"/>
      <c r="T77" s="194"/>
    </row>
    <row r="78" spans="1:20" ht="18.75" x14ac:dyDescent="0.2">
      <c r="A78" s="293"/>
      <c r="B78" s="193" t="s">
        <v>196</v>
      </c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4"/>
      <c r="P78" s="194"/>
      <c r="Q78" s="194"/>
      <c r="R78" s="194"/>
      <c r="S78" s="194"/>
      <c r="T78" s="194"/>
    </row>
    <row r="79" spans="1:20" ht="18.75" x14ac:dyDescent="0.2">
      <c r="A79" s="293"/>
      <c r="B79" s="193" t="s">
        <v>195</v>
      </c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4"/>
      <c r="P79" s="194"/>
      <c r="Q79" s="194"/>
      <c r="R79" s="194"/>
      <c r="S79" s="194"/>
      <c r="T79" s="194"/>
    </row>
    <row r="80" spans="1:20" ht="18.75" x14ac:dyDescent="0.2">
      <c r="A80" s="293"/>
      <c r="B80" s="193" t="s">
        <v>194</v>
      </c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4"/>
      <c r="P80" s="194"/>
      <c r="Q80" s="194"/>
      <c r="R80" s="194"/>
      <c r="S80" s="194"/>
      <c r="T80" s="194"/>
    </row>
    <row r="81" spans="1:20" ht="18.75" x14ac:dyDescent="0.2">
      <c r="A81" s="293"/>
      <c r="B81" s="193" t="s">
        <v>193</v>
      </c>
      <c r="C81" s="190">
        <f t="shared" ref="C81:T81" si="8">SUM(C73:C80)</f>
        <v>0</v>
      </c>
      <c r="D81" s="190">
        <f t="shared" si="8"/>
        <v>0</v>
      </c>
      <c r="E81" s="190">
        <f t="shared" si="8"/>
        <v>0</v>
      </c>
      <c r="F81" s="190">
        <f t="shared" si="8"/>
        <v>0</v>
      </c>
      <c r="G81" s="190">
        <f t="shared" si="8"/>
        <v>0</v>
      </c>
      <c r="H81" s="190">
        <f t="shared" si="8"/>
        <v>0</v>
      </c>
      <c r="I81" s="190">
        <f t="shared" si="8"/>
        <v>0</v>
      </c>
      <c r="J81" s="190">
        <f t="shared" si="8"/>
        <v>0</v>
      </c>
      <c r="K81" s="190">
        <f t="shared" si="8"/>
        <v>0</v>
      </c>
      <c r="L81" s="190">
        <f t="shared" si="8"/>
        <v>0</v>
      </c>
      <c r="M81" s="190">
        <f t="shared" si="8"/>
        <v>0</v>
      </c>
      <c r="N81" s="190">
        <f t="shared" si="8"/>
        <v>0</v>
      </c>
      <c r="O81" s="189">
        <f t="shared" si="8"/>
        <v>0</v>
      </c>
      <c r="P81" s="189">
        <f t="shared" si="8"/>
        <v>0</v>
      </c>
      <c r="Q81" s="189">
        <f t="shared" si="8"/>
        <v>0</v>
      </c>
      <c r="R81" s="189">
        <f t="shared" si="8"/>
        <v>0</v>
      </c>
      <c r="S81" s="189">
        <f t="shared" si="8"/>
        <v>0</v>
      </c>
      <c r="T81" s="189">
        <f t="shared" si="8"/>
        <v>0</v>
      </c>
    </row>
    <row r="82" spans="1:20" ht="18.75" x14ac:dyDescent="0.2">
      <c r="A82" s="192"/>
      <c r="B82" s="191" t="s">
        <v>192</v>
      </c>
      <c r="C82" s="190">
        <f t="shared" ref="C82:T82" si="9">+C11+C14+C22+C31+C41+C48+C56+C64+C72+C81</f>
        <v>0</v>
      </c>
      <c r="D82" s="190">
        <f t="shared" si="9"/>
        <v>0</v>
      </c>
      <c r="E82" s="190">
        <f t="shared" si="9"/>
        <v>0</v>
      </c>
      <c r="F82" s="190">
        <f t="shared" si="9"/>
        <v>0</v>
      </c>
      <c r="G82" s="190">
        <f t="shared" si="9"/>
        <v>0</v>
      </c>
      <c r="H82" s="190">
        <f t="shared" si="9"/>
        <v>0</v>
      </c>
      <c r="I82" s="190">
        <f t="shared" si="9"/>
        <v>0</v>
      </c>
      <c r="J82" s="190">
        <f t="shared" si="9"/>
        <v>0</v>
      </c>
      <c r="K82" s="190">
        <f t="shared" si="9"/>
        <v>0</v>
      </c>
      <c r="L82" s="190">
        <f t="shared" si="9"/>
        <v>0</v>
      </c>
      <c r="M82" s="190">
        <f t="shared" si="9"/>
        <v>0</v>
      </c>
      <c r="N82" s="190">
        <f t="shared" si="9"/>
        <v>0</v>
      </c>
      <c r="O82" s="189">
        <f t="shared" si="9"/>
        <v>0</v>
      </c>
      <c r="P82" s="189">
        <f t="shared" si="9"/>
        <v>0</v>
      </c>
      <c r="Q82" s="189">
        <f t="shared" si="9"/>
        <v>0</v>
      </c>
      <c r="R82" s="189">
        <f t="shared" si="9"/>
        <v>0</v>
      </c>
      <c r="S82" s="189">
        <f t="shared" si="9"/>
        <v>0</v>
      </c>
      <c r="T82" s="189">
        <f t="shared" si="9"/>
        <v>0</v>
      </c>
    </row>
  </sheetData>
  <mergeCells count="11">
    <mergeCell ref="A32:A41"/>
    <mergeCell ref="C8:N9"/>
    <mergeCell ref="O8:T9"/>
    <mergeCell ref="A12:A14"/>
    <mergeCell ref="A15:A22"/>
    <mergeCell ref="A23:A31"/>
    <mergeCell ref="A42:A48"/>
    <mergeCell ref="A49:A56"/>
    <mergeCell ref="A57:A64"/>
    <mergeCell ref="A65:A72"/>
    <mergeCell ref="A73:A8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C50"/>
  <sheetViews>
    <sheetView zoomScale="75" zoomScaleNormal="75" workbookViewId="0">
      <selection activeCell="H16" sqref="H16"/>
    </sheetView>
  </sheetViews>
  <sheetFormatPr defaultRowHeight="11.25" x14ac:dyDescent="0.2"/>
  <cols>
    <col min="1" max="1" width="110.85546875" style="219" customWidth="1"/>
    <col min="2" max="2" width="22.42578125" style="219" customWidth="1"/>
    <col min="3" max="3" width="21.85546875" style="219" bestFit="1" customWidth="1"/>
    <col min="4" max="16384" width="9.140625" style="219"/>
  </cols>
  <sheetData>
    <row r="1" spans="1:3" ht="20.25" x14ac:dyDescent="0.3">
      <c r="A1" s="245" t="s">
        <v>362</v>
      </c>
      <c r="B1" s="232"/>
      <c r="C1" s="232"/>
    </row>
    <row r="2" spans="1:3" ht="20.25" x14ac:dyDescent="0.3">
      <c r="A2" s="146"/>
      <c r="B2" s="146"/>
      <c r="C2" s="232"/>
    </row>
    <row r="3" spans="1:3" ht="20.25" x14ac:dyDescent="0.3">
      <c r="A3" s="66" t="s">
        <v>56</v>
      </c>
      <c r="B3" s="247" t="str">
        <f>'COMPREHENSIVE INCOME'!B3</f>
        <v/>
      </c>
      <c r="C3" s="232"/>
    </row>
    <row r="4" spans="1:3" ht="20.25" x14ac:dyDescent="0.3">
      <c r="A4" s="66" t="s">
        <v>55</v>
      </c>
      <c r="B4" s="248">
        <f>'COMPREHENSIVE INCOME'!B4</f>
        <v>0</v>
      </c>
      <c r="C4" s="232"/>
    </row>
    <row r="5" spans="1:3" ht="20.25" x14ac:dyDescent="0.3">
      <c r="A5" s="66" t="s">
        <v>54</v>
      </c>
      <c r="B5" s="249">
        <f>'COMPREHENSIVE INCOME'!B5</f>
        <v>0</v>
      </c>
      <c r="C5" s="232"/>
    </row>
    <row r="6" spans="1:3" ht="20.25" x14ac:dyDescent="0.3">
      <c r="A6" s="66" t="s">
        <v>53</v>
      </c>
      <c r="B6" s="249">
        <f>'COMPREHENSIVE INCOME'!B6</f>
        <v>0</v>
      </c>
      <c r="C6" s="232"/>
    </row>
    <row r="7" spans="1:3" ht="21" thickBot="1" x14ac:dyDescent="0.35">
      <c r="A7" s="158"/>
      <c r="B7" s="231"/>
      <c r="C7" s="230"/>
    </row>
    <row r="8" spans="1:3" ht="16.5" thickBot="1" x14ac:dyDescent="0.3">
      <c r="A8" s="306" t="s">
        <v>338</v>
      </c>
      <c r="B8" s="307"/>
      <c r="C8" s="229"/>
    </row>
    <row r="9" spans="1:3" ht="15.75" x14ac:dyDescent="0.25">
      <c r="A9" s="308"/>
      <c r="B9" s="309"/>
      <c r="C9" s="229"/>
    </row>
    <row r="10" spans="1:3" ht="15.75" x14ac:dyDescent="0.25">
      <c r="A10" s="228" t="s">
        <v>337</v>
      </c>
      <c r="B10" s="227"/>
      <c r="C10" s="223" t="s">
        <v>336</v>
      </c>
    </row>
    <row r="11" spans="1:3" ht="15.75" x14ac:dyDescent="0.25">
      <c r="A11" s="225" t="s">
        <v>335</v>
      </c>
      <c r="B11" s="227"/>
      <c r="C11" s="221"/>
    </row>
    <row r="12" spans="1:3" ht="15.75" x14ac:dyDescent="0.25">
      <c r="A12" s="225" t="s">
        <v>334</v>
      </c>
      <c r="B12" s="227"/>
      <c r="C12" s="221"/>
    </row>
    <row r="13" spans="1:3" ht="15.75" x14ac:dyDescent="0.25">
      <c r="A13" s="225" t="s">
        <v>333</v>
      </c>
      <c r="B13" s="227"/>
      <c r="C13" s="221"/>
    </row>
    <row r="14" spans="1:3" ht="15.75" x14ac:dyDescent="0.25">
      <c r="A14" s="225" t="s">
        <v>332</v>
      </c>
      <c r="B14" s="227"/>
      <c r="C14" s="221"/>
    </row>
    <row r="15" spans="1:3" ht="15.75" x14ac:dyDescent="0.25">
      <c r="A15" s="225" t="s">
        <v>331</v>
      </c>
      <c r="B15" s="227"/>
      <c r="C15" s="221"/>
    </row>
    <row r="16" spans="1:3" ht="15.75" x14ac:dyDescent="0.25">
      <c r="A16" s="225" t="s">
        <v>330</v>
      </c>
      <c r="B16" s="227"/>
      <c r="C16" s="221"/>
    </row>
    <row r="17" spans="1:3" ht="15.75" x14ac:dyDescent="0.25">
      <c r="A17" s="225" t="s">
        <v>329</v>
      </c>
      <c r="B17" s="226"/>
      <c r="C17" s="260" t="e">
        <f>C15/C16</f>
        <v>#DIV/0!</v>
      </c>
    </row>
    <row r="18" spans="1:3" ht="15.75" x14ac:dyDescent="0.25">
      <c r="A18" s="225" t="s">
        <v>328</v>
      </c>
      <c r="B18" s="227"/>
      <c r="C18" s="221"/>
    </row>
    <row r="19" spans="1:3" ht="15.75" x14ac:dyDescent="0.25">
      <c r="A19" s="225" t="s">
        <v>327</v>
      </c>
      <c r="B19" s="227"/>
      <c r="C19" s="221"/>
    </row>
    <row r="20" spans="1:3" ht="15.75" x14ac:dyDescent="0.25">
      <c r="A20" s="225" t="s">
        <v>326</v>
      </c>
      <c r="B20" s="227"/>
      <c r="C20" s="221"/>
    </row>
    <row r="21" spans="1:3" ht="15.75" x14ac:dyDescent="0.25">
      <c r="A21" s="305" t="s">
        <v>325</v>
      </c>
      <c r="B21" s="305"/>
      <c r="C21" s="223"/>
    </row>
    <row r="22" spans="1:3" ht="15.75" x14ac:dyDescent="0.25">
      <c r="A22" s="222" t="s">
        <v>324</v>
      </c>
      <c r="B22" s="227"/>
      <c r="C22" s="221"/>
    </row>
    <row r="23" spans="1:3" ht="15.75" x14ac:dyDescent="0.25">
      <c r="A23" s="222" t="s">
        <v>323</v>
      </c>
      <c r="B23" s="227"/>
      <c r="C23" s="221"/>
    </row>
    <row r="24" spans="1:3" ht="15.75" x14ac:dyDescent="0.25">
      <c r="A24" s="222" t="s">
        <v>322</v>
      </c>
      <c r="B24" s="227"/>
      <c r="C24" s="221"/>
    </row>
    <row r="25" spans="1:3" ht="15.75" x14ac:dyDescent="0.25">
      <c r="A25" s="222" t="s">
        <v>321</v>
      </c>
      <c r="B25" s="227"/>
      <c r="C25" s="221"/>
    </row>
    <row r="26" spans="1:3" ht="15.75" x14ac:dyDescent="0.25">
      <c r="A26" s="222" t="s">
        <v>320</v>
      </c>
      <c r="B26" s="227"/>
      <c r="C26" s="221"/>
    </row>
    <row r="27" spans="1:3" ht="15.75" x14ac:dyDescent="0.25">
      <c r="A27" s="222" t="s">
        <v>319</v>
      </c>
      <c r="B27" s="227"/>
      <c r="C27" s="221"/>
    </row>
    <row r="28" spans="1:3" ht="15.75" x14ac:dyDescent="0.25">
      <c r="A28" s="222" t="s">
        <v>318</v>
      </c>
      <c r="B28" s="227"/>
      <c r="C28" s="221"/>
    </row>
    <row r="29" spans="1:3" ht="15.75" x14ac:dyDescent="0.25">
      <c r="A29" s="222" t="s">
        <v>317</v>
      </c>
      <c r="B29" s="227"/>
      <c r="C29" s="221"/>
    </row>
    <row r="30" spans="1:3" ht="15.75" x14ac:dyDescent="0.25">
      <c r="A30" s="222" t="s">
        <v>316</v>
      </c>
      <c r="B30" s="227"/>
      <c r="C30" s="221"/>
    </row>
    <row r="31" spans="1:3" ht="15.75" x14ac:dyDescent="0.25">
      <c r="A31" s="223" t="s">
        <v>315</v>
      </c>
      <c r="B31" s="227"/>
      <c r="C31" s="223"/>
    </row>
    <row r="32" spans="1:3" ht="15.75" x14ac:dyDescent="0.25">
      <c r="A32" s="222" t="s">
        <v>314</v>
      </c>
      <c r="B32" s="227"/>
      <c r="C32" s="221"/>
    </row>
    <row r="33" spans="1:3" ht="15.75" x14ac:dyDescent="0.25">
      <c r="A33" s="222" t="s">
        <v>313</v>
      </c>
      <c r="B33" s="227"/>
      <c r="C33" s="221"/>
    </row>
    <row r="34" spans="1:3" ht="15.75" x14ac:dyDescent="0.25">
      <c r="A34" s="222" t="s">
        <v>312</v>
      </c>
      <c r="B34" s="227"/>
      <c r="C34" s="221"/>
    </row>
    <row r="35" spans="1:3" ht="15.75" x14ac:dyDescent="0.25">
      <c r="A35" s="222" t="s">
        <v>311</v>
      </c>
      <c r="B35" s="227"/>
      <c r="C35" s="221"/>
    </row>
    <row r="36" spans="1:3" ht="15.75" x14ac:dyDescent="0.25">
      <c r="A36" s="222" t="s">
        <v>310</v>
      </c>
      <c r="B36" s="227"/>
      <c r="C36" s="221"/>
    </row>
    <row r="37" spans="1:3" ht="15.75" x14ac:dyDescent="0.25">
      <c r="A37" s="222" t="s">
        <v>309</v>
      </c>
      <c r="B37" s="227"/>
      <c r="C37" s="221"/>
    </row>
    <row r="38" spans="1:3" ht="15.75" x14ac:dyDescent="0.25">
      <c r="A38" s="222" t="s">
        <v>308</v>
      </c>
      <c r="B38" s="227"/>
      <c r="C38" s="221"/>
    </row>
    <row r="39" spans="1:3" ht="15.75" x14ac:dyDescent="0.25">
      <c r="A39" s="222" t="s">
        <v>307</v>
      </c>
      <c r="B39" s="227"/>
      <c r="C39" s="221"/>
    </row>
    <row r="40" spans="1:3" ht="15.75" x14ac:dyDescent="0.25">
      <c r="A40" s="222" t="s">
        <v>306</v>
      </c>
      <c r="B40" s="227"/>
      <c r="C40" s="221"/>
    </row>
    <row r="41" spans="1:3" ht="15.75" x14ac:dyDescent="0.25">
      <c r="A41" s="222" t="s">
        <v>305</v>
      </c>
      <c r="B41" s="227"/>
      <c r="C41" s="221"/>
    </row>
    <row r="42" spans="1:3" ht="15.75" x14ac:dyDescent="0.25">
      <c r="A42" s="222" t="s">
        <v>304</v>
      </c>
      <c r="B42" s="227"/>
      <c r="C42" s="224" t="e">
        <f>(C40/C41)*100</f>
        <v>#DIV/0!</v>
      </c>
    </row>
    <row r="43" spans="1:3" ht="15.75" x14ac:dyDescent="0.25">
      <c r="A43" s="222" t="s">
        <v>303</v>
      </c>
      <c r="B43" s="227"/>
      <c r="C43" s="221"/>
    </row>
    <row r="44" spans="1:3" ht="15.75" x14ac:dyDescent="0.25">
      <c r="A44" s="222" t="s">
        <v>302</v>
      </c>
      <c r="B44" s="227"/>
      <c r="C44" s="221"/>
    </row>
    <row r="45" spans="1:3" ht="15.75" x14ac:dyDescent="0.25">
      <c r="A45" s="223" t="s">
        <v>301</v>
      </c>
      <c r="B45" s="227"/>
      <c r="C45" s="223"/>
    </row>
    <row r="46" spans="1:3" ht="15.75" x14ac:dyDescent="0.25">
      <c r="A46" s="222" t="s">
        <v>300</v>
      </c>
      <c r="B46" s="227"/>
      <c r="C46" s="221"/>
    </row>
    <row r="47" spans="1:3" ht="15.75" x14ac:dyDescent="0.25">
      <c r="A47" s="222" t="s">
        <v>299</v>
      </c>
      <c r="B47" s="227"/>
      <c r="C47" s="221"/>
    </row>
    <row r="48" spans="1:3" ht="15.75" x14ac:dyDescent="0.25">
      <c r="A48" s="222" t="s">
        <v>298</v>
      </c>
      <c r="B48" s="227"/>
      <c r="C48" s="221"/>
    </row>
    <row r="49" spans="1:3" ht="15.75" x14ac:dyDescent="0.25">
      <c r="A49" s="222" t="s">
        <v>297</v>
      </c>
      <c r="B49" s="227"/>
      <c r="C49" s="221"/>
    </row>
    <row r="50" spans="1:3" x14ac:dyDescent="0.2">
      <c r="A50" s="220"/>
    </row>
  </sheetData>
  <sheetProtection selectLockedCells="1"/>
  <mergeCells count="3">
    <mergeCell ref="A21:B21"/>
    <mergeCell ref="A8:B8"/>
    <mergeCell ref="A9:B9"/>
  </mergeCells>
  <printOptions gridLines="1"/>
  <pageMargins left="0.75" right="0.75" top="1" bottom="1" header="0.5" footer="0.5"/>
  <pageSetup scale="46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34"/>
  <sheetViews>
    <sheetView zoomScale="75" zoomScaleNormal="75" workbookViewId="0">
      <selection activeCell="F12" sqref="F12"/>
    </sheetView>
  </sheetViews>
  <sheetFormatPr defaultRowHeight="12.75" x14ac:dyDescent="0.2"/>
  <cols>
    <col min="1" max="1" width="44.7109375" style="156" customWidth="1"/>
    <col min="2" max="2" width="39" style="156" customWidth="1"/>
    <col min="3" max="16384" width="9.140625" style="156"/>
  </cols>
  <sheetData>
    <row r="1" spans="1:5" ht="20.25" x14ac:dyDescent="0.3">
      <c r="A1" s="246" t="s">
        <v>365</v>
      </c>
      <c r="B1" s="232"/>
    </row>
    <row r="2" spans="1:5" ht="20.25" x14ac:dyDescent="0.3">
      <c r="A2" s="232"/>
      <c r="B2" s="232"/>
    </row>
    <row r="3" spans="1:5" ht="20.25" x14ac:dyDescent="0.3">
      <c r="A3" s="66" t="s">
        <v>56</v>
      </c>
      <c r="B3" s="247" t="str">
        <f>'COMPREHENSIVE INCOME'!B3</f>
        <v/>
      </c>
      <c r="E3" s="240"/>
    </row>
    <row r="4" spans="1:5" ht="20.25" x14ac:dyDescent="0.3">
      <c r="A4" s="66" t="s">
        <v>55</v>
      </c>
      <c r="B4" s="248">
        <f>'COMPREHENSIVE INCOME'!B4</f>
        <v>0</v>
      </c>
    </row>
    <row r="5" spans="1:5" ht="20.25" x14ac:dyDescent="0.3">
      <c r="A5" s="66" t="s">
        <v>54</v>
      </c>
      <c r="B5" s="249">
        <f>'COMPREHENSIVE INCOME'!B5</f>
        <v>0</v>
      </c>
    </row>
    <row r="6" spans="1:5" ht="20.25" x14ac:dyDescent="0.3">
      <c r="A6" s="66" t="s">
        <v>53</v>
      </c>
      <c r="B6" s="249">
        <f>'COMPREHENSIVE INCOME'!B6</f>
        <v>0</v>
      </c>
    </row>
    <row r="7" spans="1:5" ht="21" thickBot="1" x14ac:dyDescent="0.35">
      <c r="A7" s="231"/>
      <c r="B7" s="231"/>
      <c r="C7" s="239"/>
    </row>
    <row r="8" spans="1:5" ht="21" thickBot="1" x14ac:dyDescent="0.35">
      <c r="A8" s="310" t="s">
        <v>356</v>
      </c>
      <c r="B8" s="311"/>
    </row>
    <row r="9" spans="1:5" ht="15.75" x14ac:dyDescent="0.25">
      <c r="A9" s="234" t="s">
        <v>355</v>
      </c>
      <c r="B9" s="238"/>
    </row>
    <row r="10" spans="1:5" ht="15.75" x14ac:dyDescent="0.25">
      <c r="A10" s="234" t="s">
        <v>354</v>
      </c>
      <c r="B10" s="236"/>
    </row>
    <row r="11" spans="1:5" ht="15.75" x14ac:dyDescent="0.25">
      <c r="A11" s="234" t="s">
        <v>353</v>
      </c>
      <c r="B11" s="237"/>
    </row>
    <row r="12" spans="1:5" ht="15.75" x14ac:dyDescent="0.25">
      <c r="A12" s="234" t="s">
        <v>352</v>
      </c>
      <c r="B12" s="236"/>
    </row>
    <row r="13" spans="1:5" ht="15.75" x14ac:dyDescent="0.25">
      <c r="A13" s="234" t="s">
        <v>351</v>
      </c>
      <c r="B13" s="236"/>
    </row>
    <row r="14" spans="1:5" ht="15.75" x14ac:dyDescent="0.25">
      <c r="A14" s="234" t="s">
        <v>350</v>
      </c>
      <c r="B14" s="236"/>
    </row>
    <row r="15" spans="1:5" ht="15.75" x14ac:dyDescent="0.25">
      <c r="A15" s="234" t="s">
        <v>349</v>
      </c>
      <c r="B15" s="236"/>
    </row>
    <row r="16" spans="1:5" ht="15.75" x14ac:dyDescent="0.25">
      <c r="A16" s="234" t="s">
        <v>348</v>
      </c>
      <c r="B16" s="236"/>
    </row>
    <row r="17" spans="1:2" ht="15.75" x14ac:dyDescent="0.25">
      <c r="A17" s="234" t="s">
        <v>347</v>
      </c>
      <c r="B17" s="236"/>
    </row>
    <row r="18" spans="1:2" ht="15" x14ac:dyDescent="0.2">
      <c r="A18" s="234" t="s">
        <v>346</v>
      </c>
      <c r="B18" s="235"/>
    </row>
    <row r="19" spans="1:2" ht="15" x14ac:dyDescent="0.2">
      <c r="A19" s="234" t="s">
        <v>345</v>
      </c>
      <c r="B19" s="235"/>
    </row>
    <row r="20" spans="1:2" ht="15.75" x14ac:dyDescent="0.25">
      <c r="A20" s="234" t="s">
        <v>344</v>
      </c>
      <c r="B20" s="236"/>
    </row>
    <row r="21" spans="1:2" ht="15" x14ac:dyDescent="0.2">
      <c r="A21" s="234" t="s">
        <v>343</v>
      </c>
      <c r="B21" s="235"/>
    </row>
    <row r="22" spans="1:2" ht="15" x14ac:dyDescent="0.2">
      <c r="A22" s="234" t="s">
        <v>342</v>
      </c>
      <c r="B22" s="235"/>
    </row>
    <row r="23" spans="1:2" ht="15" x14ac:dyDescent="0.2">
      <c r="A23" s="234" t="s">
        <v>341</v>
      </c>
      <c r="B23" s="235"/>
    </row>
    <row r="24" spans="1:2" ht="15" x14ac:dyDescent="0.2">
      <c r="A24" s="234" t="s">
        <v>340</v>
      </c>
      <c r="B24" s="235"/>
    </row>
    <row r="25" spans="1:2" ht="15.75" thickBot="1" x14ac:dyDescent="0.25">
      <c r="A25" s="234" t="s">
        <v>339</v>
      </c>
      <c r="B25" s="233"/>
    </row>
    <row r="26" spans="1:2" ht="20.25" x14ac:dyDescent="0.3">
      <c r="A26" s="146"/>
      <c r="B26" s="146"/>
    </row>
    <row r="27" spans="1:2" ht="20.25" x14ac:dyDescent="0.3">
      <c r="A27" s="146"/>
      <c r="B27" s="146"/>
    </row>
    <row r="28" spans="1:2" ht="20.25" x14ac:dyDescent="0.3">
      <c r="A28" s="146"/>
      <c r="B28" s="146"/>
    </row>
    <row r="29" spans="1:2" ht="20.25" x14ac:dyDescent="0.3">
      <c r="A29" s="146"/>
      <c r="B29" s="146"/>
    </row>
    <row r="30" spans="1:2" ht="20.25" x14ac:dyDescent="0.3">
      <c r="A30" s="146"/>
      <c r="B30" s="146"/>
    </row>
    <row r="31" spans="1:2" ht="20.25" x14ac:dyDescent="0.3">
      <c r="A31" s="146"/>
      <c r="B31" s="146"/>
    </row>
    <row r="32" spans="1:2" ht="20.25" x14ac:dyDescent="0.3">
      <c r="A32" s="146"/>
      <c r="B32" s="146"/>
    </row>
    <row r="33" spans="1:2" ht="20.25" x14ac:dyDescent="0.3">
      <c r="A33" s="146"/>
      <c r="B33" s="146"/>
    </row>
    <row r="34" spans="1:2" ht="20.25" x14ac:dyDescent="0.3">
      <c r="A34" s="146"/>
      <c r="B34" s="146"/>
    </row>
  </sheetData>
  <sheetProtection selectLockedCells="1"/>
  <mergeCells count="1">
    <mergeCell ref="A8:B8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COMPREHENSIVE INCOME</vt:lpstr>
      <vt:lpstr>STATEMENT OF FIN POSITION</vt:lpstr>
      <vt:lpstr>SCHEDULE 1 INSIDER LOANS</vt:lpstr>
      <vt:lpstr>SCHEDULE 2 LONG TERM DEB</vt:lpstr>
      <vt:lpstr>SCHEDULE 3 ASSET QUALITY</vt:lpstr>
      <vt:lpstr>SCHEDULE 4 DISTRIBUTION </vt:lpstr>
      <vt:lpstr>SCHEDULE 5 GENDER DISTRIBUTION</vt:lpstr>
      <vt:lpstr>SCHEDULE 6 MATURITY PROF</vt:lpstr>
      <vt:lpstr>SCHEDULE 7 TOP 20 BORROW</vt:lpstr>
      <vt:lpstr>SCHEDULE 8 - ACCESS BY DISTRICT</vt:lpstr>
      <vt:lpstr>SCHEDULE 9 PORT MNGMNT</vt:lpstr>
      <vt:lpstr>SCHEDULE 9 CO. PROFILE</vt:lpstr>
      <vt:lpstr>'COMPREHENSIVE INCOME'!Print_Area</vt:lpstr>
      <vt:lpstr>'SCHEDULE 1 INSIDER LOANS'!Print_Area</vt:lpstr>
      <vt:lpstr>'SCHEDULE 3 ASSET QUALITY'!Print_Area</vt:lpstr>
      <vt:lpstr>'SCHEDULE 4 DISTRIBUTION '!Print_Area</vt:lpstr>
      <vt:lpstr>'SCHEDULE 6 MATURITY PROF'!Print_Area</vt:lpstr>
      <vt:lpstr>'SCHEDULE 7 TOP 20 BORROW'!Print_Area</vt:lpstr>
      <vt:lpstr>'SCHEDULE 9 CO. PROFILE'!Print_Area</vt:lpstr>
      <vt:lpstr>'SCHEDULE 9 PORT MNGMNT'!Print_Area</vt:lpstr>
      <vt:lpstr>'STATEMENT OF FIN POSITION'!Print_Area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mwales</dc:creator>
  <cp:lastModifiedBy>mwales</cp:lastModifiedBy>
  <dcterms:created xsi:type="dcterms:W3CDTF">2016-04-20T09:29:51Z</dcterms:created>
  <dcterms:modified xsi:type="dcterms:W3CDTF">2019-04-15T10:30:40Z</dcterms:modified>
</cp:coreProperties>
</file>